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899C9086-67A9-5B14-2C2D-5A8001700F7D}"/>
  <workbookPr codeName="ThisWorkbook"/>
  <mc:AlternateContent xmlns:mc="http://schemas.openxmlformats.org/markup-compatibility/2006">
    <mc:Choice Requires="x15">
      <x15ac:absPath xmlns:x15ac="http://schemas.microsoft.com/office/spreadsheetml/2010/11/ac" url="D:\home\INSPIRA\NewPresetCal\"/>
    </mc:Choice>
  </mc:AlternateContent>
  <xr:revisionPtr revIDLastSave="0" documentId="13_ncr:1_{C6CB9737-AEB0-4E2C-9918-29A58A89DC0D}" xr6:coauthVersionLast="47" xr6:coauthVersionMax="47" xr10:uidLastSave="{00000000-0000-0000-0000-000000000000}"/>
  <bookViews>
    <workbookView xWindow="-1170" yWindow="-19815" windowWidth="24000" windowHeight="12900" tabRatio="693" activeTab="2" xr2:uid="{00000000-000D-0000-FFFF-FFFF00000000}"/>
  </bookViews>
  <sheets>
    <sheet name="改訂履歴" sheetId="10" r:id="rId1"/>
    <sheet name="ID一覧" sheetId="18" r:id="rId2"/>
    <sheet name="入力シート" sheetId="6" r:id="rId3"/>
  </sheets>
  <definedNames>
    <definedName name="_xlnm._FilterDatabase" localSheetId="1" hidden="1">ID一覧!$A$1:$J$741</definedName>
    <definedName name="BL">入力シート!$B$4</definedName>
    <definedName name="BPM">入力シート!$B$2</definedName>
    <definedName name="BW">入力シート!$B$3</definedName>
    <definedName name="DTRP">入力シート!$B$21:$B$21</definedName>
    <definedName name="GSL">入力シート!$B$5:$B$5</definedName>
    <definedName name="ID_000">ID一覧!$I$2</definedName>
    <definedName name="ID_001">ID一覧!$I$3</definedName>
    <definedName name="ID_002">ID一覧!$I$4</definedName>
    <definedName name="ID_003">ID一覧!$I$5</definedName>
    <definedName name="ID_004">ID一覧!$I$6</definedName>
    <definedName name="ID_005">ID一覧!$I$7</definedName>
    <definedName name="ID_006">ID一覧!$I$8</definedName>
    <definedName name="ID_007">ID一覧!$I$9</definedName>
    <definedName name="ID_008">ID一覧!$I$10</definedName>
    <definedName name="ID_009">ID一覧!$I$11</definedName>
    <definedName name="ID_010">ID一覧!$I$12</definedName>
    <definedName name="ID_011">ID一覧!$I$13</definedName>
    <definedName name="ID_012">ID一覧!$I$14</definedName>
    <definedName name="ID_013">ID一覧!$I$15</definedName>
    <definedName name="ID_014">ID一覧!$I$16</definedName>
    <definedName name="ID_015">ID一覧!$I$17</definedName>
    <definedName name="ID_016">ID一覧!$I$18</definedName>
    <definedName name="ID_017">ID一覧!$I$19</definedName>
    <definedName name="ID_018">ID一覧!$I$20</definedName>
    <definedName name="ID_019">ID一覧!$I$21</definedName>
    <definedName name="ID_020">ID一覧!$I$22</definedName>
    <definedName name="ID_021">ID一覧!$I$23</definedName>
    <definedName name="ID_022">ID一覧!$I$24</definedName>
    <definedName name="ID_023">ID一覧!$I$25</definedName>
    <definedName name="ID_024">ID一覧!$I$26</definedName>
    <definedName name="ID_025">ID一覧!$I$27</definedName>
    <definedName name="ID_026">ID一覧!$I$28</definedName>
    <definedName name="ID_027">ID一覧!$I$29</definedName>
    <definedName name="ID_028">ID一覧!$I$30</definedName>
    <definedName name="ID_029">ID一覧!$I$31</definedName>
    <definedName name="ID_030">ID一覧!$I$32</definedName>
    <definedName name="ID_031">ID一覧!$I$33</definedName>
    <definedName name="ID_032">ID一覧!$I$34</definedName>
    <definedName name="ID_033">ID一覧!$I$35</definedName>
    <definedName name="ID_034">ID一覧!$I$36</definedName>
    <definedName name="ID_035">ID一覧!$I$37</definedName>
    <definedName name="ID_036">ID一覧!$I$38</definedName>
    <definedName name="ID_037">ID一覧!$I$39</definedName>
    <definedName name="ID_038">ID一覧!$I$40</definedName>
    <definedName name="ID_039">ID一覧!$I$41</definedName>
    <definedName name="ID_040">ID一覧!$I$42</definedName>
    <definedName name="ID_041">ID一覧!$I$43</definedName>
    <definedName name="ID_042">ID一覧!$I$44</definedName>
    <definedName name="ID_043">ID一覧!$I$45</definedName>
    <definedName name="ID_044">ID一覧!$I$46</definedName>
    <definedName name="ID_045">ID一覧!$I$47</definedName>
    <definedName name="ID_046">ID一覧!$I$48</definedName>
    <definedName name="ID_047">ID一覧!$I$49</definedName>
    <definedName name="ID_048">ID一覧!$I$50</definedName>
    <definedName name="ID_049">ID一覧!$I$51</definedName>
    <definedName name="ID_050">ID一覧!$I$52</definedName>
    <definedName name="ID_051">ID一覧!$I$53</definedName>
    <definedName name="ID_052">ID一覧!$I$54</definedName>
    <definedName name="ID_053">ID一覧!$I$55</definedName>
    <definedName name="ID_054">ID一覧!$I$56</definedName>
    <definedName name="ID_055">ID一覧!$I$57</definedName>
    <definedName name="ID_056">ID一覧!$I$58</definedName>
    <definedName name="ID_057">ID一覧!$I$59</definedName>
    <definedName name="ID_058">ID一覧!$I$60</definedName>
    <definedName name="ID_059">ID一覧!$I$61</definedName>
    <definedName name="ID_060">ID一覧!$I$62</definedName>
    <definedName name="ID_061">ID一覧!$I$63</definedName>
    <definedName name="ID_062">ID一覧!$I$64</definedName>
    <definedName name="ID_063">ID一覧!$I$65</definedName>
    <definedName name="ID_064">ID一覧!$I$66</definedName>
    <definedName name="ID_065">ID一覧!$I$67</definedName>
    <definedName name="ID_066">ID一覧!$I$68</definedName>
    <definedName name="ID_067">ID一覧!$I$69</definedName>
    <definedName name="ID_068">ID一覧!$I$70</definedName>
    <definedName name="ID_069">ID一覧!$I$71</definedName>
    <definedName name="ID_070">ID一覧!$I$72</definedName>
    <definedName name="ID_071">ID一覧!$I$73</definedName>
    <definedName name="ID_072">ID一覧!$I$74</definedName>
    <definedName name="ID_073">ID一覧!$I$75</definedName>
    <definedName name="ID_074">ID一覧!$I$76</definedName>
    <definedName name="ID_075">ID一覧!$I$77</definedName>
    <definedName name="ID_076">ID一覧!$I$78</definedName>
    <definedName name="ID_077">ID一覧!$I$79</definedName>
    <definedName name="ID_078">ID一覧!$I$80</definedName>
    <definedName name="ID_079">ID一覧!$I$81</definedName>
    <definedName name="ID_080">ID一覧!$I$82</definedName>
    <definedName name="ID_081">ID一覧!$I$83</definedName>
    <definedName name="ID_082">ID一覧!$I$84</definedName>
    <definedName name="ID_083">ID一覧!$I$85</definedName>
    <definedName name="ID_084">ID一覧!$I$86</definedName>
    <definedName name="ID_085">ID一覧!$I$87</definedName>
    <definedName name="ID_086">ID一覧!$I$88</definedName>
    <definedName name="ID_087">ID一覧!$I$89</definedName>
    <definedName name="ID_088">ID一覧!$I$90</definedName>
    <definedName name="ID_089">ID一覧!$I$91</definedName>
    <definedName name="ID_090">ID一覧!$I$92</definedName>
    <definedName name="ID_091">ID一覧!$I$93</definedName>
    <definedName name="ID_092">ID一覧!$I$94</definedName>
    <definedName name="ID_093">ID一覧!$I$95</definedName>
    <definedName name="ID_094">ID一覧!$I$96</definedName>
    <definedName name="ID_095">ID一覧!$I$97</definedName>
    <definedName name="ID_096">ID一覧!$I$98</definedName>
    <definedName name="ID_097">ID一覧!$I$99</definedName>
    <definedName name="ID_098">ID一覧!$I$100</definedName>
    <definedName name="ID_099">ID一覧!$I$101</definedName>
    <definedName name="ID_100">ID一覧!$I$102</definedName>
    <definedName name="ID_101">ID一覧!$I$103</definedName>
    <definedName name="ID_102">ID一覧!$I$104</definedName>
    <definedName name="ID_103">ID一覧!$I$105</definedName>
    <definedName name="ID_104">ID一覧!$I$106</definedName>
    <definedName name="ID_105">ID一覧!$I$107</definedName>
    <definedName name="ID_106">ID一覧!$I$108</definedName>
    <definedName name="ID_107">ID一覧!$I$109</definedName>
    <definedName name="ID_108">ID一覧!$I$110</definedName>
    <definedName name="ID_109">ID一覧!$I$111</definedName>
    <definedName name="ID_110">ID一覧!$I$112</definedName>
    <definedName name="ID_111">ID一覧!$I$113</definedName>
    <definedName name="ID_112">ID一覧!$I$114</definedName>
    <definedName name="ID_113">ID一覧!$I$115</definedName>
    <definedName name="ID_114">ID一覧!$I$116</definedName>
    <definedName name="ID_115">ID一覧!$I$117</definedName>
    <definedName name="ID_116">ID一覧!$I$118</definedName>
    <definedName name="ID_117">ID一覧!$I$119</definedName>
    <definedName name="ID_118">ID一覧!$I$120</definedName>
    <definedName name="ID_119">ID一覧!$I$121</definedName>
    <definedName name="ID_120">ID一覧!$I$122</definedName>
    <definedName name="ID_121">ID一覧!$I$123</definedName>
    <definedName name="ID_122">ID一覧!$I$124</definedName>
    <definedName name="ID_123">ID一覧!$I$125</definedName>
    <definedName name="ID_124">ID一覧!$I$126</definedName>
    <definedName name="ID_125">ID一覧!$I$127</definedName>
    <definedName name="ID_126">ID一覧!$I$128</definedName>
    <definedName name="ID_127">ID一覧!$I$129</definedName>
    <definedName name="ID_128">ID一覧!$I$130</definedName>
    <definedName name="ID_129">ID一覧!$I$131</definedName>
    <definedName name="ID_130">ID一覧!$I$132</definedName>
    <definedName name="ID_131">ID一覧!$I$133</definedName>
    <definedName name="ID_132">ID一覧!$I$134</definedName>
    <definedName name="ID_133">ID一覧!$I$135</definedName>
    <definedName name="ID_134">ID一覧!$I$136</definedName>
    <definedName name="ID_135">ID一覧!$I$137</definedName>
    <definedName name="ID_136">ID一覧!$I$138</definedName>
    <definedName name="ID_137">ID一覧!$I$139</definedName>
    <definedName name="ID_138">ID一覧!$I$140</definedName>
    <definedName name="ID_139">ID一覧!$I$141</definedName>
    <definedName name="ID_140">ID一覧!$I$142</definedName>
    <definedName name="ID_141">ID一覧!$I$143</definedName>
    <definedName name="ID_142">ID一覧!$I$144</definedName>
    <definedName name="ID_143">ID一覧!$I$145</definedName>
    <definedName name="ID_144">ID一覧!$I$146</definedName>
    <definedName name="ID_145">ID一覧!$I$147</definedName>
    <definedName name="ID_146">ID一覧!$I$148</definedName>
    <definedName name="ID_147">ID一覧!$I$149</definedName>
    <definedName name="ID_148">ID一覧!$I$150</definedName>
    <definedName name="ID_149">ID一覧!$I$151</definedName>
    <definedName name="ID_150">ID一覧!$I$152</definedName>
    <definedName name="ID_151">ID一覧!$I$153</definedName>
    <definedName name="ID_152">ID一覧!$I$154</definedName>
    <definedName name="ID_153">ID一覧!$I$155</definedName>
    <definedName name="ID_154">ID一覧!$I$156</definedName>
    <definedName name="ID_155">ID一覧!$I$157</definedName>
    <definedName name="ID_156">ID一覧!$I$158</definedName>
    <definedName name="ID_157">ID一覧!$I$159</definedName>
    <definedName name="ID_158">ID一覧!$I$160</definedName>
    <definedName name="ID_159">ID一覧!$I$161</definedName>
    <definedName name="ID_160">ID一覧!$I$162</definedName>
    <definedName name="ID_161">ID一覧!$I$163</definedName>
    <definedName name="ID_162">ID一覧!$I$164</definedName>
    <definedName name="ID_163">ID一覧!$I$165</definedName>
    <definedName name="ID_164">ID一覧!$I$166</definedName>
    <definedName name="ID_165">ID一覧!$I$167</definedName>
    <definedName name="ID_166">ID一覧!$I$168</definedName>
    <definedName name="ID_167">ID一覧!$I$169</definedName>
    <definedName name="ID_168">ID一覧!$I$170</definedName>
    <definedName name="ID_169">ID一覧!$I$171</definedName>
    <definedName name="ID_170">ID一覧!$I$172</definedName>
    <definedName name="ID_171">ID一覧!$I$173</definedName>
    <definedName name="ID_172">ID一覧!$I$174</definedName>
    <definedName name="ID_173">ID一覧!$I$175</definedName>
    <definedName name="ID_174">ID一覧!$I$176</definedName>
    <definedName name="ID_175">ID一覧!$I$177</definedName>
    <definedName name="ID_176">ID一覧!$I$178</definedName>
    <definedName name="ID_177">ID一覧!$I$179</definedName>
    <definedName name="ID_178">ID一覧!$I$180</definedName>
    <definedName name="ID_179">ID一覧!$I$181</definedName>
    <definedName name="ID_180">ID一覧!$I$182</definedName>
    <definedName name="ID_181">ID一覧!$I$183</definedName>
    <definedName name="ID_182">ID一覧!$I$184</definedName>
    <definedName name="ID_183">ID一覧!$I$185</definedName>
    <definedName name="ID_184">ID一覧!$I$186</definedName>
    <definedName name="ID_185">ID一覧!$I$187</definedName>
    <definedName name="ID_186">ID一覧!$I$188</definedName>
    <definedName name="ID_187">ID一覧!$I$189</definedName>
    <definedName name="ID_188">ID一覧!$I$190</definedName>
    <definedName name="ID_189">ID一覧!$I$191</definedName>
    <definedName name="ID_190">ID一覧!$I$192</definedName>
    <definedName name="ID_191">ID一覧!$I$193</definedName>
    <definedName name="ID_192">ID一覧!$I$194</definedName>
    <definedName name="ID_193">ID一覧!$I$195</definedName>
    <definedName name="ID_194">ID一覧!$I$196</definedName>
    <definedName name="ID_195">ID一覧!$I$197</definedName>
    <definedName name="ID_196">ID一覧!$I$198</definedName>
    <definedName name="ID_197">ID一覧!$I$199</definedName>
    <definedName name="ID_198">ID一覧!$I$200</definedName>
    <definedName name="ID_199">ID一覧!$I$201</definedName>
    <definedName name="ID_200">ID一覧!$I$202</definedName>
    <definedName name="ID_201">ID一覧!$I$203</definedName>
    <definedName name="ID_202">ID一覧!$I$204</definedName>
    <definedName name="ID_203">ID一覧!$I$205</definedName>
    <definedName name="ID_204">ID一覧!$I$206</definedName>
    <definedName name="ID_205">ID一覧!$I$207</definedName>
    <definedName name="ID_206">ID一覧!$I$208</definedName>
    <definedName name="ID_207">ID一覧!$I$209</definedName>
    <definedName name="ID_208">ID一覧!$I$210</definedName>
    <definedName name="ID_209">ID一覧!$I$211</definedName>
    <definedName name="ID_210">ID一覧!$I$212</definedName>
    <definedName name="ID_211">ID一覧!$I$213</definedName>
    <definedName name="ID_212">ID一覧!$I$214</definedName>
    <definedName name="ID_213">ID一覧!$I$215</definedName>
    <definedName name="ID_214">ID一覧!$I$216</definedName>
    <definedName name="ID_215">ID一覧!$I$217</definedName>
    <definedName name="ID_216">ID一覧!$I$218</definedName>
    <definedName name="ID_217">ID一覧!$I$219</definedName>
    <definedName name="ID_218">ID一覧!$I$220</definedName>
    <definedName name="ID_219">ID一覧!$I$221</definedName>
    <definedName name="ID_220">ID一覧!$I$222</definedName>
    <definedName name="ID_221">ID一覧!$I$223</definedName>
    <definedName name="ID_222">ID一覧!$I$224</definedName>
    <definedName name="ID_223">ID一覧!$I$225</definedName>
    <definedName name="ID_224">ID一覧!$I$226</definedName>
    <definedName name="ID_225">ID一覧!$I$227</definedName>
    <definedName name="ID_226">ID一覧!$I$228</definedName>
    <definedName name="ID_227">ID一覧!$I$229</definedName>
    <definedName name="ID_228">ID一覧!$I$230</definedName>
    <definedName name="ID_229">ID一覧!$I$231</definedName>
    <definedName name="ID_230">ID一覧!$I$232</definedName>
    <definedName name="ID_231">ID一覧!$I$233</definedName>
    <definedName name="ID_232">ID一覧!$I$234</definedName>
    <definedName name="ID_233">ID一覧!$I$235</definedName>
    <definedName name="ID_234">ID一覧!$I$236</definedName>
    <definedName name="ID_235">ID一覧!$I$237</definedName>
    <definedName name="ID_236">ID一覧!$I$238</definedName>
    <definedName name="ID_237">ID一覧!$I$239</definedName>
    <definedName name="ID_238">ID一覧!$I$240</definedName>
    <definedName name="ID_239">ID一覧!$I$241</definedName>
    <definedName name="ID_240">ID一覧!$I$242</definedName>
    <definedName name="ID_241">ID一覧!$I$243</definedName>
    <definedName name="ID_242">ID一覧!$I$244</definedName>
    <definedName name="ID_243">ID一覧!$I$245</definedName>
    <definedName name="ID_244">ID一覧!$I$246</definedName>
    <definedName name="ID_245">ID一覧!$I$247</definedName>
    <definedName name="ID_246">ID一覧!$I$248</definedName>
    <definedName name="ID_247">ID一覧!$I$249</definedName>
    <definedName name="ID_248">ID一覧!$I$250</definedName>
    <definedName name="ID_249">ID一覧!$I$251</definedName>
    <definedName name="ID_250">ID一覧!$I$252</definedName>
    <definedName name="ID_251">ID一覧!$I$253</definedName>
    <definedName name="ID_252">ID一覧!$I$254</definedName>
    <definedName name="ID_253">ID一覧!$I$255</definedName>
    <definedName name="ID_254">ID一覧!$I$256</definedName>
    <definedName name="ID_255">ID一覧!$I$257</definedName>
    <definedName name="ID_256">ID一覧!$I$258</definedName>
    <definedName name="ID_257">ID一覧!$I$259</definedName>
    <definedName name="ID_258">ID一覧!$I$260</definedName>
    <definedName name="ID_259">ID一覧!$I$261</definedName>
    <definedName name="ID_260">ID一覧!$I$262</definedName>
    <definedName name="ID_261">ID一覧!$I$263</definedName>
    <definedName name="ID_262">ID一覧!$I$264</definedName>
    <definedName name="ID_263">ID一覧!$I$265</definedName>
    <definedName name="ID_264">ID一覧!$I$266</definedName>
    <definedName name="ID_265">ID一覧!$I$267</definedName>
    <definedName name="ID_266">ID一覧!$I$268</definedName>
    <definedName name="ID_267">ID一覧!$I$269</definedName>
    <definedName name="ID_268">ID一覧!$I$270</definedName>
    <definedName name="ID_269">ID一覧!$I$271</definedName>
    <definedName name="ID_270">ID一覧!$I$272</definedName>
    <definedName name="ID_271">ID一覧!$I$273</definedName>
    <definedName name="ID_272">ID一覧!$I$274</definedName>
    <definedName name="ID_273">ID一覧!$I$275</definedName>
    <definedName name="ID_274">ID一覧!$I$276</definedName>
    <definedName name="ID_275">ID一覧!$I$277</definedName>
    <definedName name="ID_276">ID一覧!$I$278</definedName>
    <definedName name="ID_277">ID一覧!$I$279</definedName>
    <definedName name="ID_278">ID一覧!$I$280</definedName>
    <definedName name="ID_279">ID一覧!$I$281</definedName>
    <definedName name="ID_280">ID一覧!$I$282</definedName>
    <definedName name="ID_281">ID一覧!$I$283</definedName>
    <definedName name="ID_282">ID一覧!$I$284</definedName>
    <definedName name="ID_283">ID一覧!$I$285</definedName>
    <definedName name="ID_284">ID一覧!$I$286</definedName>
    <definedName name="ID_285">ID一覧!$I$287</definedName>
    <definedName name="ID_286">ID一覧!$I$288</definedName>
    <definedName name="ID_287">ID一覧!$I$289</definedName>
    <definedName name="ID_288">ID一覧!$I$290</definedName>
    <definedName name="ID_289">ID一覧!$I$291</definedName>
    <definedName name="ID_290">ID一覧!$I$292</definedName>
    <definedName name="ID_291">ID一覧!$I$293</definedName>
    <definedName name="ID_292">ID一覧!$I$294</definedName>
    <definedName name="ID_293">ID一覧!$I$295</definedName>
    <definedName name="ID_294">ID一覧!$I$296</definedName>
    <definedName name="ID_295">ID一覧!$I$297</definedName>
    <definedName name="ID_296">ID一覧!$I$298</definedName>
    <definedName name="ID_297">ID一覧!$I$299</definedName>
    <definedName name="ID_298">ID一覧!$I$300</definedName>
    <definedName name="ID_299">ID一覧!$I$301</definedName>
    <definedName name="ID_300">ID一覧!$I$302</definedName>
    <definedName name="ID_301">ID一覧!$I$303</definedName>
    <definedName name="ID_302">ID一覧!$I$304</definedName>
    <definedName name="ID_303">ID一覧!$I$305</definedName>
    <definedName name="ID_304">ID一覧!$I$306</definedName>
    <definedName name="ID_305">ID一覧!$I$307</definedName>
    <definedName name="ID_306">ID一覧!$I$308</definedName>
    <definedName name="ID_307">ID一覧!$I$309</definedName>
    <definedName name="ID_308">ID一覧!$I$310</definedName>
    <definedName name="ID_309">ID一覧!$I$311</definedName>
    <definedName name="ID_310">ID一覧!$I$312</definedName>
    <definedName name="ID_311">ID一覧!$I$313</definedName>
    <definedName name="ID_312">ID一覧!$I$314</definedName>
    <definedName name="ID_313">ID一覧!$I$315</definedName>
    <definedName name="ID_314">ID一覧!$I$316</definedName>
    <definedName name="ID_315">ID一覧!$I$317</definedName>
    <definedName name="ID_316">ID一覧!$I$318</definedName>
    <definedName name="ID_317">ID一覧!$I$319</definedName>
    <definedName name="ID_318">ID一覧!$I$320</definedName>
    <definedName name="ID_319">ID一覧!$I$321</definedName>
    <definedName name="ID_320">ID一覧!$I$322</definedName>
    <definedName name="ID_321">ID一覧!$I$323</definedName>
    <definedName name="ID_322">ID一覧!$I$324</definedName>
    <definedName name="ID_323">ID一覧!$I$325</definedName>
    <definedName name="ID_324">ID一覧!$I$326</definedName>
    <definedName name="ID_325">ID一覧!$I$327</definedName>
    <definedName name="ID_326">ID一覧!$I$328</definedName>
    <definedName name="ID_327">ID一覧!$I$329</definedName>
    <definedName name="ID_328">ID一覧!$I$330</definedName>
    <definedName name="ID_329">ID一覧!$I$331</definedName>
    <definedName name="ID_330">ID一覧!$I$332</definedName>
    <definedName name="ID_331">ID一覧!$I$333</definedName>
    <definedName name="ID_332">ID一覧!$I$334</definedName>
    <definedName name="ID_333">ID一覧!$I$335</definedName>
    <definedName name="ID_334">ID一覧!$I$336</definedName>
    <definedName name="ID_335">ID一覧!$I$337</definedName>
    <definedName name="ID_336">ID一覧!$I$338</definedName>
    <definedName name="ID_337">ID一覧!$I$339</definedName>
    <definedName name="ID_338">ID一覧!$I$340</definedName>
    <definedName name="ID_339">ID一覧!$I$341</definedName>
    <definedName name="ID_340">ID一覧!$I$342</definedName>
    <definedName name="ID_341">ID一覧!$I$343</definedName>
    <definedName name="ID_342">ID一覧!$I$344</definedName>
    <definedName name="ID_343">ID一覧!$I$345</definedName>
    <definedName name="ID_344">ID一覧!$I$346</definedName>
    <definedName name="ID_345">ID一覧!$I$347</definedName>
    <definedName name="ID_346">ID一覧!$I$348</definedName>
    <definedName name="ID_347">ID一覧!$I$349</definedName>
    <definedName name="ID_348">ID一覧!$I$350</definedName>
    <definedName name="ID_349">ID一覧!$I$351</definedName>
    <definedName name="ID_350">ID一覧!$I$352</definedName>
    <definedName name="ID_351">ID一覧!$I$353</definedName>
    <definedName name="ID_352">ID一覧!$I$354</definedName>
    <definedName name="ID_353">ID一覧!$I$355</definedName>
    <definedName name="ID_354">ID一覧!$I$356</definedName>
    <definedName name="ID_355">ID一覧!$I$357</definedName>
    <definedName name="ID_356">ID一覧!$I$358</definedName>
    <definedName name="ID_357">ID一覧!$I$359</definedName>
    <definedName name="ID_358">ID一覧!$I$360</definedName>
    <definedName name="ID_359">ID一覧!$I$361</definedName>
    <definedName name="ID_360">ID一覧!$I$362</definedName>
    <definedName name="ID_361">ID一覧!$I$363</definedName>
    <definedName name="ID_362">ID一覧!$I$364</definedName>
    <definedName name="ID_363">ID一覧!$I$365</definedName>
    <definedName name="ID_364">ID一覧!$I$366</definedName>
    <definedName name="ID_365">ID一覧!$I$367</definedName>
    <definedName name="ID_366">ID一覧!$I$368</definedName>
    <definedName name="ID_367">ID一覧!$I$369</definedName>
    <definedName name="ID_368">ID一覧!$I$370</definedName>
    <definedName name="ID_369">ID一覧!$I$371</definedName>
    <definedName name="ID_370">ID一覧!$I$372</definedName>
    <definedName name="ID_371">ID一覧!$I$373</definedName>
    <definedName name="ID_372">ID一覧!$I$374</definedName>
    <definedName name="ID_373">ID一覧!$I$375</definedName>
    <definedName name="ID_374">ID一覧!$I$376</definedName>
    <definedName name="ID_375">ID一覧!$I$377</definedName>
    <definedName name="ID_376">ID一覧!$I$378</definedName>
    <definedName name="ID_377">ID一覧!$I$379</definedName>
    <definedName name="ID_378">ID一覧!$I$380</definedName>
    <definedName name="ID_379">ID一覧!$I$381</definedName>
    <definedName name="ID_380">ID一覧!$I$382</definedName>
    <definedName name="ID_381">ID一覧!$I$383</definedName>
    <definedName name="ID_382">ID一覧!$I$384</definedName>
    <definedName name="ID_383">ID一覧!$I$385</definedName>
    <definedName name="ID_384">ID一覧!$I$386</definedName>
    <definedName name="ID_385">ID一覧!$I$387</definedName>
    <definedName name="ID_386">ID一覧!$I$388</definedName>
    <definedName name="ID_387">ID一覧!$I$389</definedName>
    <definedName name="ID_388">ID一覧!$I$390</definedName>
    <definedName name="ID_389">ID一覧!$I$391</definedName>
    <definedName name="ID_390">ID一覧!$I$392</definedName>
    <definedName name="ID_391">ID一覧!$I$393</definedName>
    <definedName name="ID_392">ID一覧!$I$394</definedName>
    <definedName name="ID_393">ID一覧!$I$395</definedName>
    <definedName name="ID_394">ID一覧!$I$396</definedName>
    <definedName name="ID_395">ID一覧!$I$397</definedName>
    <definedName name="ID_396">ID一覧!$I$398</definedName>
    <definedName name="ID_397">ID一覧!$I$399</definedName>
    <definedName name="ID_398">ID一覧!$I$400</definedName>
    <definedName name="ID_399">ID一覧!$I$401</definedName>
    <definedName name="ID_400">ID一覧!$I$402</definedName>
    <definedName name="ID_401">ID一覧!$I$403</definedName>
    <definedName name="ID_402">ID一覧!$I$404</definedName>
    <definedName name="ID_403">ID一覧!$I$405</definedName>
    <definedName name="ID_404">ID一覧!$I$406</definedName>
    <definedName name="ID_405">ID一覧!$I$407</definedName>
    <definedName name="ID_406">ID一覧!$I$408</definedName>
    <definedName name="ID_407">ID一覧!$I$409</definedName>
    <definedName name="ID_408">ID一覧!$I$410</definedName>
    <definedName name="ID_409">ID一覧!$I$411</definedName>
    <definedName name="ID_410">ID一覧!$I$412</definedName>
    <definedName name="ID_411">ID一覧!$I$413</definedName>
    <definedName name="ID_412">ID一覧!$I$414</definedName>
    <definedName name="ID_413">ID一覧!$I$415</definedName>
    <definedName name="ID_414">ID一覧!$I$416</definedName>
    <definedName name="ID_415">ID一覧!$I$417</definedName>
    <definedName name="ID_416">ID一覧!$I$418</definedName>
    <definedName name="ID_417">ID一覧!$I$419</definedName>
    <definedName name="ID_418">ID一覧!$I$420</definedName>
    <definedName name="ID_419">ID一覧!$I$421</definedName>
    <definedName name="ID_420">ID一覧!$I$422</definedName>
    <definedName name="ID_421">ID一覧!$I$423</definedName>
    <definedName name="ID_422">ID一覧!$I$424</definedName>
    <definedName name="ID_423">ID一覧!$I$425</definedName>
    <definedName name="ID_424">ID一覧!$I$426</definedName>
    <definedName name="ID_425">ID一覧!$I$427</definedName>
    <definedName name="ID_426">ID一覧!$I$428</definedName>
    <definedName name="ID_427">ID一覧!$I$429</definedName>
    <definedName name="ID_428">ID一覧!$I$430</definedName>
    <definedName name="ID_429">ID一覧!$I$431</definedName>
    <definedName name="ID_430">ID一覧!$I$432</definedName>
    <definedName name="ID_431">ID一覧!$I$433</definedName>
    <definedName name="ID_432">ID一覧!$I$434</definedName>
    <definedName name="ID_433">ID一覧!$I$435</definedName>
    <definedName name="ID_434">ID一覧!$I$436</definedName>
    <definedName name="ID_435">ID一覧!$I$437</definedName>
    <definedName name="ID_436">ID一覧!$I$438</definedName>
    <definedName name="ID_437">ID一覧!$I$439</definedName>
    <definedName name="ID_438">ID一覧!$I$440</definedName>
    <definedName name="ID_439">ID一覧!$I$441</definedName>
    <definedName name="ID_440">ID一覧!$I$442</definedName>
    <definedName name="ID_441">ID一覧!$I$443</definedName>
    <definedName name="ID_442">ID一覧!$I$444</definedName>
    <definedName name="ID_443">ID一覧!$I$445</definedName>
    <definedName name="ID_444">ID一覧!$I$446</definedName>
    <definedName name="ID_445">ID一覧!$I$447</definedName>
    <definedName name="ID_446">ID一覧!$I$448</definedName>
    <definedName name="ID_447">ID一覧!$I$449</definedName>
    <definedName name="ID_448">ID一覧!$I$450</definedName>
    <definedName name="ID_449">ID一覧!$I$451</definedName>
    <definedName name="ID_450">ID一覧!$I$452</definedName>
    <definedName name="ID_451">ID一覧!$I$453</definedName>
    <definedName name="ID_452">ID一覧!$I$454</definedName>
    <definedName name="ID_453">ID一覧!$I$455</definedName>
    <definedName name="ID_454">ID一覧!$I$456</definedName>
    <definedName name="ID_455">ID一覧!$I$457</definedName>
    <definedName name="ID_456">ID一覧!$I$458</definedName>
    <definedName name="ID_457">ID一覧!$I$459</definedName>
    <definedName name="ID_458">ID一覧!$I$460</definedName>
    <definedName name="ID_459">ID一覧!$I$461</definedName>
    <definedName name="ID_460">ID一覧!$I$462</definedName>
    <definedName name="ID_461">ID一覧!$I$463</definedName>
    <definedName name="ID_462">ID一覧!$I$464</definedName>
    <definedName name="ID_463">ID一覧!$I$465</definedName>
    <definedName name="ID_464">ID一覧!$I$466</definedName>
    <definedName name="ID_465">ID一覧!$I$467</definedName>
    <definedName name="ID_466">ID一覧!$I$468</definedName>
    <definedName name="ID_467">ID一覧!$I$469</definedName>
    <definedName name="ID_468">ID一覧!$I$470</definedName>
    <definedName name="ID_469">ID一覧!$I$471</definedName>
    <definedName name="ID_470">ID一覧!$I$472</definedName>
    <definedName name="ID_471">ID一覧!$I$473</definedName>
    <definedName name="ID_472">ID一覧!$I$474</definedName>
    <definedName name="ID_473">ID一覧!$I$475</definedName>
    <definedName name="ID_474">ID一覧!$I$476</definedName>
    <definedName name="ID_475">ID一覧!$I$477</definedName>
    <definedName name="ID_476">ID一覧!$I$478</definedName>
    <definedName name="ID_477">ID一覧!$I$479</definedName>
    <definedName name="ID_478">ID一覧!$I$480</definedName>
    <definedName name="ID_479">ID一覧!$I$481</definedName>
    <definedName name="ID_480">ID一覧!$I$482</definedName>
    <definedName name="ID_481">ID一覧!$I$483</definedName>
    <definedName name="ID_482">ID一覧!$I$484</definedName>
    <definedName name="ID_483">ID一覧!$I$485</definedName>
    <definedName name="ID_484">ID一覧!$I$486</definedName>
    <definedName name="ID_485">ID一覧!$I$487</definedName>
    <definedName name="ID_486">ID一覧!$I$488</definedName>
    <definedName name="ID_487">ID一覧!$I$489</definedName>
    <definedName name="ID_488">ID一覧!$I$490</definedName>
    <definedName name="ID_489">ID一覧!$I$491</definedName>
    <definedName name="ID_490">ID一覧!$I$492</definedName>
    <definedName name="ID_491">ID一覧!$I$493</definedName>
    <definedName name="ID_492">ID一覧!$I$494</definedName>
    <definedName name="ID_493">ID一覧!$I$495</definedName>
    <definedName name="ID_494">ID一覧!$I$496</definedName>
    <definedName name="ID_495">ID一覧!$I$497</definedName>
    <definedName name="ID_496">ID一覧!$I$498</definedName>
    <definedName name="ID_497">ID一覧!$I$499</definedName>
    <definedName name="ID_498">ID一覧!$I$500</definedName>
    <definedName name="ID_499">ID一覧!$I$501</definedName>
    <definedName name="ID_500">ID一覧!$I$502</definedName>
    <definedName name="ID_501">ID一覧!$I$503</definedName>
    <definedName name="ID_502">ID一覧!$I$504</definedName>
    <definedName name="ID_503">ID一覧!$I$505</definedName>
    <definedName name="ID_504">ID一覧!$I$506</definedName>
    <definedName name="ID_505">ID一覧!$I$507</definedName>
    <definedName name="ID_506">ID一覧!$I$508</definedName>
    <definedName name="ID_507">ID一覧!$I$509</definedName>
    <definedName name="ID_508">ID一覧!$I$510</definedName>
    <definedName name="ID_509">ID一覧!$I$511</definedName>
    <definedName name="ID_510">ID一覧!$I$512</definedName>
    <definedName name="ID_511">ID一覧!$I$513</definedName>
    <definedName name="ID_512">ID一覧!$I$514</definedName>
    <definedName name="ID_513">ID一覧!$I$515</definedName>
    <definedName name="ID_514">ID一覧!$I$516</definedName>
    <definedName name="ID_515">ID一覧!$I$517</definedName>
    <definedName name="ID_516">ID一覧!$I$518</definedName>
    <definedName name="ID_517">ID一覧!$I$519</definedName>
    <definedName name="ID_518">ID一覧!$I$520</definedName>
    <definedName name="ID_519">ID一覧!$I$521</definedName>
    <definedName name="ID_520">ID一覧!$I$522</definedName>
    <definedName name="ID_521">ID一覧!$I$523</definedName>
    <definedName name="ID_522">ID一覧!$I$524</definedName>
    <definedName name="ID_523">ID一覧!$I$525</definedName>
    <definedName name="ID_524">ID一覧!$I$526</definedName>
    <definedName name="ID_525">ID一覧!$I$527</definedName>
    <definedName name="ID_526">ID一覧!$I$528</definedName>
    <definedName name="ID_527">ID一覧!$I$529</definedName>
    <definedName name="ID_528">ID一覧!$I$530</definedName>
    <definedName name="ID_529">ID一覧!$I$531</definedName>
    <definedName name="ID_530">ID一覧!$I$532</definedName>
    <definedName name="ID_531">ID一覧!$I$533</definedName>
    <definedName name="ID_532">ID一覧!$I$534</definedName>
    <definedName name="ID_533">ID一覧!$I$535</definedName>
    <definedName name="ID_534">ID一覧!$I$536</definedName>
    <definedName name="ID_535">ID一覧!$I$537</definedName>
    <definedName name="ID_536">ID一覧!$I$538</definedName>
    <definedName name="ID_537">ID一覧!$I$539</definedName>
    <definedName name="ID_538">ID一覧!$I$540</definedName>
    <definedName name="ID_539">ID一覧!$I$541</definedName>
    <definedName name="ID_540">ID一覧!$I$542</definedName>
    <definedName name="ID_541">ID一覧!$I$543</definedName>
    <definedName name="ID_542">ID一覧!$I$544</definedName>
    <definedName name="ID_543">ID一覧!$I$545</definedName>
    <definedName name="ID_544">ID一覧!$I$546</definedName>
    <definedName name="ID_545">ID一覧!$I$547</definedName>
    <definedName name="ID_546">ID一覧!$I$548</definedName>
    <definedName name="ID_547">ID一覧!$I$549</definedName>
    <definedName name="ID_548">ID一覧!$I$550</definedName>
    <definedName name="ID_549">ID一覧!$I$551</definedName>
    <definedName name="ID_550">ID一覧!$I$552</definedName>
    <definedName name="ID_551">ID一覧!$I$553</definedName>
    <definedName name="ID_552">ID一覧!$I$554</definedName>
    <definedName name="ID_553">ID一覧!$I$555</definedName>
    <definedName name="ID_554">ID一覧!$I$556</definedName>
    <definedName name="ID_555">ID一覧!$I$557</definedName>
    <definedName name="ID_556">ID一覧!$I$558</definedName>
    <definedName name="ID_557">ID一覧!$I$559</definedName>
    <definedName name="ID_558">ID一覧!$I$560</definedName>
    <definedName name="ID_559">ID一覧!$I$561</definedName>
    <definedName name="ID_560">ID一覧!$I$562</definedName>
    <definedName name="ID_561">ID一覧!$I$563</definedName>
    <definedName name="ID_562">ID一覧!$I$564</definedName>
    <definedName name="ID_563">ID一覧!$I$565</definedName>
    <definedName name="ID_564">ID一覧!$I$566</definedName>
    <definedName name="ID_565">ID一覧!$I$567</definedName>
    <definedName name="ID_566">ID一覧!$I$568</definedName>
    <definedName name="ID_567">ID一覧!$I$569</definedName>
    <definedName name="ID_568">ID一覧!$I$570</definedName>
    <definedName name="ID_569">ID一覧!$I$571</definedName>
    <definedName name="ID_570">ID一覧!$I$572</definedName>
    <definedName name="ID_571">ID一覧!$I$573</definedName>
    <definedName name="ID_572">ID一覧!$I$574</definedName>
    <definedName name="ID_573">ID一覧!$I$575</definedName>
    <definedName name="ID_574">ID一覧!$I$576</definedName>
    <definedName name="ID_575">ID一覧!$I$577</definedName>
    <definedName name="ID_576">ID一覧!$I$578</definedName>
    <definedName name="ID_577">ID一覧!$I$579</definedName>
    <definedName name="ID_578">ID一覧!$I$580</definedName>
    <definedName name="ID_579">ID一覧!$I$581</definedName>
    <definedName name="ID_580">ID一覧!$I$582</definedName>
    <definedName name="ID_581">ID一覧!$I$583</definedName>
    <definedName name="ID_582">ID一覧!$I$584</definedName>
    <definedName name="ID_583">ID一覧!$I$585</definedName>
    <definedName name="ID_584">ID一覧!$I$586</definedName>
    <definedName name="ID_585">ID一覧!$I$587</definedName>
    <definedName name="ID_586">ID一覧!$I$588</definedName>
    <definedName name="ID_587">ID一覧!$I$589</definedName>
    <definedName name="ID_588">ID一覧!$I$590</definedName>
    <definedName name="ID_589">ID一覧!$I$591</definedName>
    <definedName name="ID_590">ID一覧!$I$592</definedName>
    <definedName name="ID_591">ID一覧!$I$593</definedName>
    <definedName name="ID_592">ID一覧!$I$594</definedName>
    <definedName name="ID_593">ID一覧!$I$595</definedName>
    <definedName name="ID_594">ID一覧!$I$596</definedName>
    <definedName name="ID_595">ID一覧!$I$597</definedName>
    <definedName name="ID_596">ID一覧!$I$598</definedName>
    <definedName name="ID_597">ID一覧!$I$599</definedName>
    <definedName name="ID_598">ID一覧!$I$600</definedName>
    <definedName name="ID_599">ID一覧!$I$601</definedName>
    <definedName name="ID_600">ID一覧!$I$602</definedName>
    <definedName name="ID_601">ID一覧!$I$603</definedName>
    <definedName name="ID_602">ID一覧!$I$604</definedName>
    <definedName name="ID_603">ID一覧!$I$605</definedName>
    <definedName name="ID_604">ID一覧!$I$606</definedName>
    <definedName name="ID_605">ID一覧!$I$607</definedName>
    <definedName name="ID_606">ID一覧!$I$608</definedName>
    <definedName name="ID_607">ID一覧!$I$609</definedName>
    <definedName name="ID_608">ID一覧!$I$610</definedName>
    <definedName name="ID_609">ID一覧!$I$611</definedName>
    <definedName name="ID_610">ID一覧!$I$612</definedName>
    <definedName name="ID_611">ID一覧!$I$613</definedName>
    <definedName name="ID_612">ID一覧!$I$614</definedName>
    <definedName name="ID_613">ID一覧!$I$615</definedName>
    <definedName name="ID_614">ID一覧!$I$616</definedName>
    <definedName name="ID_615">ID一覧!$I$617</definedName>
    <definedName name="ID_616">ID一覧!$I$618</definedName>
    <definedName name="ID_617">ID一覧!$I$619</definedName>
    <definedName name="ID_618">ID一覧!$I$620</definedName>
    <definedName name="ID_619">ID一覧!$I$621</definedName>
    <definedName name="ID_620">ID一覧!$I$622</definedName>
    <definedName name="ID_621">ID一覧!$I$623</definedName>
    <definedName name="ID_622">ID一覧!$I$624</definedName>
    <definedName name="ID_623">ID一覧!$I$625</definedName>
    <definedName name="ID_624">ID一覧!$I$626</definedName>
    <definedName name="ID_625">ID一覧!$I$627</definedName>
    <definedName name="ID_626">ID一覧!$I$628</definedName>
    <definedName name="ID_627">ID一覧!$I$629</definedName>
    <definedName name="ID_628">ID一覧!$I$630</definedName>
    <definedName name="ID_629">ID一覧!$I$631</definedName>
    <definedName name="ID_630">ID一覧!$I$632</definedName>
    <definedName name="ID_631">ID一覧!$I$633</definedName>
    <definedName name="ID_632">ID一覧!$I$634</definedName>
    <definedName name="ID_633">ID一覧!$I$635</definedName>
    <definedName name="ID_634">ID一覧!$I$636</definedName>
    <definedName name="ID_635">ID一覧!$I$637</definedName>
    <definedName name="ID_636">ID一覧!$I$638</definedName>
    <definedName name="ID_637">ID一覧!$I$639</definedName>
    <definedName name="ID_638">ID一覧!$I$640</definedName>
    <definedName name="ID_639">ID一覧!$I$641</definedName>
    <definedName name="ID_900">ID一覧!$I$642</definedName>
    <definedName name="ID_901">ID一覧!$I$643</definedName>
    <definedName name="ID_902">ID一覧!$I$644</definedName>
    <definedName name="ID_903">ID一覧!$I$645</definedName>
    <definedName name="ID_904">ID一覧!$I$646</definedName>
    <definedName name="ID_905">ID一覧!$I$647</definedName>
    <definedName name="ID_906">ID一覧!$I$648</definedName>
    <definedName name="ID_907">ID一覧!$I$649</definedName>
    <definedName name="ID_908">ID一覧!$I$650</definedName>
    <definedName name="ID_909">ID一覧!$I$651</definedName>
    <definedName name="ID_910">ID一覧!$I$652</definedName>
    <definedName name="ID_911">ID一覧!$I$653</definedName>
    <definedName name="ID_912">ID一覧!$I$654</definedName>
    <definedName name="ID_913">ID一覧!$I$655</definedName>
    <definedName name="ID_914">ID一覧!$I$656</definedName>
    <definedName name="ID_915">ID一覧!$I$657</definedName>
    <definedName name="ID_916">ID一覧!$I$658</definedName>
    <definedName name="ID_917">ID一覧!$I$659</definedName>
    <definedName name="ID_918">ID一覧!$I$660</definedName>
    <definedName name="ID_919">ID一覧!$I$661</definedName>
    <definedName name="ID_920">ID一覧!$I$662</definedName>
    <definedName name="ID_921">ID一覧!$I$663</definedName>
    <definedName name="ID_922">ID一覧!$I$664</definedName>
    <definedName name="ID_923">ID一覧!$I$665</definedName>
    <definedName name="ID_924">ID一覧!$I$666</definedName>
    <definedName name="ID_925">ID一覧!$I$667</definedName>
    <definedName name="ID_926">ID一覧!$I$668</definedName>
    <definedName name="ID_927">ID一覧!$I$669</definedName>
    <definedName name="ID_928">ID一覧!$I$670</definedName>
    <definedName name="ID_929">ID一覧!$I$671</definedName>
    <definedName name="ID_930">ID一覧!$I$672</definedName>
    <definedName name="ID_931">ID一覧!$I$673</definedName>
    <definedName name="ID_932">ID一覧!$I$674</definedName>
    <definedName name="ID_933">ID一覧!$I$675</definedName>
    <definedName name="ID_934">ID一覧!$I$676</definedName>
    <definedName name="ID_935">ID一覧!$I$677</definedName>
    <definedName name="ID_936">ID一覧!$I$678</definedName>
    <definedName name="ID_937">ID一覧!$I$679</definedName>
    <definedName name="ID_938">ID一覧!$I$680</definedName>
    <definedName name="ID_939">ID一覧!$I$681</definedName>
    <definedName name="ID_940">ID一覧!$I$682</definedName>
    <definedName name="ID_941">ID一覧!$I$683</definedName>
    <definedName name="ID_942">ID一覧!$I$684</definedName>
    <definedName name="ID_943">ID一覧!$I$685</definedName>
    <definedName name="ID_944">ID一覧!$I$686</definedName>
    <definedName name="ID_945">ID一覧!$I$687</definedName>
    <definedName name="ID_946">ID一覧!$I$688</definedName>
    <definedName name="ID_947">ID一覧!$I$689</definedName>
    <definedName name="ID_948">ID一覧!$I$690</definedName>
    <definedName name="ID_949">ID一覧!$I$691</definedName>
    <definedName name="ID_950">ID一覧!$I$692</definedName>
    <definedName name="ID_951">ID一覧!$I$693</definedName>
    <definedName name="ID_952">ID一覧!$I$694</definedName>
    <definedName name="ID_953">ID一覧!$I$695</definedName>
    <definedName name="ID_954">ID一覧!$I$696</definedName>
    <definedName name="ID_955">ID一覧!$I$697</definedName>
    <definedName name="ID_956">ID一覧!$I$698</definedName>
    <definedName name="ID_957">ID一覧!$I$699</definedName>
    <definedName name="ID_958">ID一覧!$I$700</definedName>
    <definedName name="ID_959">ID一覧!$I$701</definedName>
    <definedName name="ID_960">ID一覧!$I$702</definedName>
    <definedName name="ID_961">ID一覧!$I$703</definedName>
    <definedName name="ID_962">ID一覧!$I$704</definedName>
    <definedName name="ID_963">ID一覧!$I$705</definedName>
    <definedName name="ID_964">ID一覧!$I$706</definedName>
    <definedName name="ID_965">ID一覧!$I$707</definedName>
    <definedName name="ID_966">ID一覧!$I$708</definedName>
    <definedName name="ID_967">ID一覧!$I$709</definedName>
    <definedName name="ID_968">ID一覧!$I$710</definedName>
    <definedName name="ID_969">ID一覧!$I$711</definedName>
    <definedName name="ID_970">ID一覧!$I$712</definedName>
    <definedName name="ID_971">ID一覧!$I$713</definedName>
    <definedName name="ID_972">ID一覧!$I$714</definedName>
    <definedName name="ID_973">ID一覧!$I$715</definedName>
    <definedName name="ID_974">ID一覧!$I$716</definedName>
    <definedName name="ID_975">ID一覧!$I$717</definedName>
    <definedName name="ID_976">ID一覧!$I$718</definedName>
    <definedName name="ID_977">ID一覧!$I$719</definedName>
    <definedName name="ID_978">ID一覧!$I$720</definedName>
    <definedName name="ID_979">ID一覧!$I$721</definedName>
    <definedName name="ID_980">ID一覧!$I$722</definedName>
    <definedName name="ID_981">ID一覧!$I$723</definedName>
    <definedName name="ID_982">ID一覧!$I$724</definedName>
    <definedName name="ID_983">ID一覧!$I$725</definedName>
    <definedName name="ID_984">ID一覧!$I$726</definedName>
    <definedName name="ID_985">ID一覧!$I$727</definedName>
    <definedName name="ID_986">ID一覧!$I$728</definedName>
    <definedName name="ID_987">ID一覧!$I$729</definedName>
    <definedName name="ID_988">ID一覧!$I$730</definedName>
    <definedName name="ID_989">ID一覧!$I$731</definedName>
    <definedName name="ID_990">ID一覧!$I$732</definedName>
    <definedName name="ID_991">ID一覧!$I$733</definedName>
    <definedName name="ID_992">ID一覧!$I$734</definedName>
    <definedName name="ID_993">ID一覧!$I$735</definedName>
    <definedName name="ID_994">ID一覧!$I$736</definedName>
    <definedName name="ID_995">ID一覧!$I$737</definedName>
    <definedName name="ID_996">ID一覧!$I$738</definedName>
    <definedName name="ID_997">ID一覧!$I$739</definedName>
    <definedName name="ID_998">ID一覧!$I$740</definedName>
    <definedName name="ID_999">ID一覧!$I$741</definedName>
    <definedName name="M1GR">入力シート!$B$22</definedName>
    <definedName name="M1PP">入力シート!$B$24</definedName>
    <definedName name="M1PT">入力シート!$B$23</definedName>
    <definedName name="M1SD">入力シート!$B$25</definedName>
    <definedName name="MIBW">入力シート!$B$13</definedName>
    <definedName name="MIEN">入力シート!$B$12</definedName>
    <definedName name="MIET">入力シート!$B$11</definedName>
    <definedName name="MIGE">入力シート!$B$10</definedName>
    <definedName name="MILL">入力シート!$B$15</definedName>
    <definedName name="MILT">入力シート!$B$14</definedName>
    <definedName name="MIML">入力シート!$B$16</definedName>
    <definedName name="MIMW">入力シート!$B$17</definedName>
    <definedName name="MIOS">入力シート!$B$18</definedName>
    <definedName name="OPPR">入力シート!$B$20</definedName>
    <definedName name="PDTM">入力シート!$B$8</definedName>
    <definedName name="RGON">入力シート!$B$6:$B$6</definedName>
    <definedName name="RGW">入力シート!$B$7:$B$7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96" i="18" l="1"/>
  <c r="I697" i="18"/>
  <c r="I698" i="18" s="1"/>
  <c r="I644" i="18"/>
  <c r="I699" i="18" l="1"/>
  <c r="I672" i="18" l="1"/>
  <c r="I645" i="18"/>
  <c r="I648" i="18" l="1"/>
  <c r="I647" i="18"/>
  <c r="I646" i="18"/>
  <c r="I643" i="18"/>
  <c r="I673" i="18"/>
  <c r="I674" i="18" s="1"/>
  <c r="I675" i="18" s="1"/>
  <c r="I678" i="18" s="1"/>
  <c r="I679" i="18" s="1"/>
  <c r="I683" i="18" s="1"/>
  <c r="I684" i="18" s="1"/>
  <c r="I251" i="18"/>
  <c r="C8" i="6"/>
  <c r="C22" i="6"/>
  <c r="C23" i="6"/>
  <c r="C24" i="6"/>
  <c r="I123" i="18" a="1"/>
  <c r="I123" i="18" s="1"/>
  <c r="C5" i="6"/>
  <c r="C7" i="6"/>
  <c r="I435" i="18" a="1"/>
  <c r="I435" i="18" s="1"/>
  <c r="I122" i="18" a="1"/>
  <c r="I122" i="18" s="1"/>
  <c r="I688" i="18"/>
  <c r="I689" i="18" s="1"/>
  <c r="I690" i="18" s="1"/>
  <c r="I691" i="18" s="1"/>
  <c r="I152" i="18" s="1"/>
  <c r="C34" i="6"/>
  <c r="C33" i="6"/>
  <c r="C32" i="6"/>
  <c r="C31" i="6"/>
  <c r="C30" i="6"/>
  <c r="C29" i="6"/>
  <c r="C28" i="6"/>
  <c r="C27" i="6"/>
  <c r="C26" i="6"/>
  <c r="C25" i="6"/>
  <c r="C21" i="6"/>
  <c r="C20" i="6"/>
  <c r="C18" i="6"/>
  <c r="C17" i="6"/>
  <c r="C16" i="6"/>
  <c r="C15" i="6"/>
  <c r="C14" i="6"/>
  <c r="C13" i="6"/>
  <c r="C12" i="6"/>
  <c r="C11" i="6"/>
  <c r="C10" i="6"/>
  <c r="C6" i="6"/>
  <c r="C2" i="6"/>
  <c r="C4" i="6"/>
  <c r="C3" i="6"/>
  <c r="I106" i="18"/>
  <c r="I102" i="18"/>
  <c r="I103" i="18"/>
  <c r="I111" i="18"/>
  <c r="I681" i="18" l="1"/>
  <c r="I695" i="18"/>
  <c r="I676" i="18"/>
  <c r="I692" i="18"/>
  <c r="I308" i="18" s="1"/>
  <c r="I677" i="18" l="1"/>
  <c r="I682" i="18" s="1"/>
  <c r="I685" i="18" l="1"/>
  <c r="I127" i="18" s="1"/>
  <c r="I687" i="18"/>
  <c r="I135" i="18" s="1"/>
  <c r="I686" i="18"/>
  <c r="I693" i="18" s="1" a="1"/>
  <c r="I693" i="18" s="1"/>
  <c r="I680" i="18"/>
  <c r="I124" i="18" l="1"/>
  <c r="I694"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tc={71291DB4-BF5C-4E34-A7A5-B0467A2DFC93}</author>
  </authors>
  <commentList>
    <comment ref="F5" authorId="0" shapeId="0" xr:uid="{71291DB4-BF5C-4E34-A7A5-B0467A2DFC9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<sst xmlns="http://schemas.openxmlformats.org/spreadsheetml/2006/main" count="2290" uniqueCount="1396">
  <si>
    <t>※必ずエクセルの計算値とシミュレータの計算値があっている事を確認してからＲＣＵにインストールする事</t>
    <rPh sb="1" eb="2">
      <t>カナラ</t>
    </rPh>
    <rPh sb="8" eb="10">
      <t>ケイサン</t>
    </rPh>
    <rPh sb="10" eb="11">
      <t>チ</t>
    </rPh>
    <rPh sb="19" eb="21">
      <t>ケイサン</t>
    </rPh>
    <rPh sb="21" eb="22">
      <t>チ</t>
    </rPh>
    <rPh sb="28" eb="29">
      <t>コト</t>
    </rPh>
    <rPh sb="30" eb="32">
      <t>カクニン</t>
    </rPh>
    <rPh sb="48" eb="49">
      <t>コト</t>
    </rPh>
    <phoneticPr fontId="1"/>
  </si>
  <si>
    <t>Ver</t>
    <phoneticPr fontId="1"/>
  </si>
  <si>
    <t>日付</t>
    <rPh sb="0" eb="1">
      <t>ヒ</t>
    </rPh>
    <rPh sb="1" eb="2">
      <t>ツ</t>
    </rPh>
    <phoneticPr fontId="1"/>
  </si>
  <si>
    <t>改訂者</t>
    <rPh sb="0" eb="2">
      <t>カイテイ</t>
    </rPh>
    <rPh sb="2" eb="3">
      <t>シャ</t>
    </rPh>
    <phoneticPr fontId="1"/>
  </si>
  <si>
    <t>改訂内容</t>
    <rPh sb="0" eb="2">
      <t>カイテイ</t>
    </rPh>
    <rPh sb="2" eb="4">
      <t>ナイヨウ</t>
    </rPh>
    <phoneticPr fontId="1"/>
  </si>
  <si>
    <t>0.1</t>
    <phoneticPr fontId="1"/>
  </si>
  <si>
    <t>黒澤</t>
    <rPh sb="0" eb="2">
      <t>クロサワ</t>
    </rPh>
    <phoneticPr fontId="1"/>
  </si>
  <si>
    <t>一次計算式としてID900番台を取得した。</t>
    <rPh sb="0" eb="2">
      <t>イチジ</t>
    </rPh>
    <rPh sb="2" eb="5">
      <t>ケイサンシキ</t>
    </rPh>
    <rPh sb="13" eb="15">
      <t>バンダイ</t>
    </rPh>
    <rPh sb="16" eb="18">
      <t>シュトク</t>
    </rPh>
    <phoneticPr fontId="1"/>
  </si>
  <si>
    <t>0.2</t>
    <phoneticPr fontId="1"/>
  </si>
  <si>
    <t>入力シートを包装機用に変更した。</t>
    <rPh sb="0" eb="2">
      <t>ニュウリョク</t>
    </rPh>
    <rPh sb="6" eb="8">
      <t>ホウソウ</t>
    </rPh>
    <rPh sb="8" eb="10">
      <t>キヨウ</t>
    </rPh>
    <rPh sb="11" eb="13">
      <t>ヘンコウ</t>
    </rPh>
    <phoneticPr fontId="1"/>
  </si>
  <si>
    <t>0.3</t>
    <phoneticPr fontId="1"/>
  </si>
  <si>
    <t>ID一覧にてフォーマ経路計算を追加した。</t>
    <rPh sb="2" eb="4">
      <t>イチラン</t>
    </rPh>
    <rPh sb="10" eb="12">
      <t>ケイロ</t>
    </rPh>
    <rPh sb="12" eb="14">
      <t>ケイサン</t>
    </rPh>
    <rPh sb="15" eb="17">
      <t>ツイカ</t>
    </rPh>
    <phoneticPr fontId="1"/>
  </si>
  <si>
    <t>0.4</t>
    <phoneticPr fontId="1"/>
  </si>
  <si>
    <t>ID_900～ID_929を固定値、ID_930～ID_999を変動値用とし再設計しました。</t>
    <rPh sb="14" eb="17">
      <t>コテイチ</t>
    </rPh>
    <rPh sb="32" eb="34">
      <t>ヘンドウ</t>
    </rPh>
    <rPh sb="34" eb="35">
      <t>チ</t>
    </rPh>
    <rPh sb="35" eb="36">
      <t>ヨウ</t>
    </rPh>
    <rPh sb="38" eb="41">
      <t>サイセッケイ</t>
    </rPh>
    <phoneticPr fontId="1"/>
  </si>
  <si>
    <t>0.5</t>
    <phoneticPr fontId="1"/>
  </si>
  <si>
    <t>入力シートからフィルム経路を削除し、ID一覧に追加した。</t>
    <rPh sb="0" eb="2">
      <t>ニュウリョク</t>
    </rPh>
    <rPh sb="11" eb="13">
      <t>ケイロ</t>
    </rPh>
    <rPh sb="14" eb="16">
      <t>サクジョ</t>
    </rPh>
    <rPh sb="20" eb="22">
      <t>イチラン</t>
    </rPh>
    <rPh sb="23" eb="25">
      <t>ツイカ</t>
    </rPh>
    <phoneticPr fontId="1"/>
  </si>
  <si>
    <t>0.6</t>
    <phoneticPr fontId="1"/>
  </si>
  <si>
    <t>湯川</t>
  </si>
  <si>
    <t>入力シート：側面幅、レジマークONOFF、レジマーク幅のアドレス取得。</t>
  </si>
  <si>
    <t>0.7</t>
    <phoneticPr fontId="1"/>
  </si>
  <si>
    <t>15120 REGMARK_ONOFF=RGON, 15121 REGMARK_LENGTH=RGW, 15433 GUSSET_SIDE_LENGTH=GSLを紐づけさせた。</t>
    <rPh sb="81" eb="82">
      <t>ヒモ</t>
    </rPh>
    <phoneticPr fontId="1"/>
  </si>
  <si>
    <t>0.8</t>
    <phoneticPr fontId="1"/>
  </si>
  <si>
    <t>ID?941のIF文を分割し、ID_942に移行。それ以降の番号を1つずつずらした。</t>
    <rPh sb="9" eb="10">
      <t>ブン</t>
    </rPh>
    <rPh sb="11" eb="13">
      <t>ブンカツ</t>
    </rPh>
    <rPh sb="22" eb="24">
      <t>イコウ</t>
    </rPh>
    <rPh sb="27" eb="29">
      <t>イコウ</t>
    </rPh>
    <rPh sb="30" eb="32">
      <t>バンゴウ</t>
    </rPh>
    <phoneticPr fontId="1"/>
  </si>
  <si>
    <t>0.9</t>
    <phoneticPr fontId="1"/>
  </si>
  <si>
    <t>CS機のしごき長はACTUAL_STRIP_LENGTHだったので変更した。</t>
  </si>
  <si>
    <t>0.10</t>
    <phoneticPr fontId="1"/>
  </si>
  <si>
    <t>ナイフONDutyの自動計算に対応した。</t>
    <rPh sb="10" eb="12">
      <t>ジドウ</t>
    </rPh>
    <rPh sb="12" eb="14">
      <t>ケイサン</t>
    </rPh>
    <rPh sb="15" eb="17">
      <t>タイオウ</t>
    </rPh>
    <phoneticPr fontId="1"/>
  </si>
  <si>
    <t>0.11</t>
    <phoneticPr fontId="1"/>
  </si>
  <si>
    <t>シャッター閉点からの商品落下タイミングの自動計算に対応した。</t>
    <rPh sb="20" eb="24">
      <t>ジドウケイサン</t>
    </rPh>
    <rPh sb="25" eb="27">
      <t>タイオウ</t>
    </rPh>
    <phoneticPr fontId="1"/>
  </si>
  <si>
    <t>0.12</t>
    <phoneticPr fontId="1"/>
  </si>
  <si>
    <t>湯川</t>
    <rPh sb="0" eb="2">
      <t>ユカワ</t>
    </rPh>
    <phoneticPr fontId="1"/>
  </si>
  <si>
    <t>計算式出力キー押下時に、output.csvの先頭行へ改訂履歴のVerを追加するようマクロを変更した。</t>
    <rPh sb="0" eb="3">
      <t>ケイサンシキ</t>
    </rPh>
    <rPh sb="3" eb="5">
      <t>シュツリョク</t>
    </rPh>
    <rPh sb="7" eb="9">
      <t>オウカ</t>
    </rPh>
    <rPh sb="9" eb="10">
      <t>ジ</t>
    </rPh>
    <rPh sb="23" eb="25">
      <t>セントウ</t>
    </rPh>
    <rPh sb="25" eb="26">
      <t>ギョウ</t>
    </rPh>
    <rPh sb="27" eb="31">
      <t>カイテイリレキ</t>
    </rPh>
    <rPh sb="36" eb="38">
      <t>ツイカ</t>
    </rPh>
    <rPh sb="46" eb="48">
      <t>ヘンコウ</t>
    </rPh>
    <phoneticPr fontId="1"/>
  </si>
  <si>
    <t>0.13</t>
    <phoneticPr fontId="1"/>
  </si>
  <si>
    <t>outpur.csvの出力時に先頭行は半角7文字開け、２行目も自動計算式以外を出力するようにする</t>
    <rPh sb="11" eb="13">
      <t>シュツリョク</t>
    </rPh>
    <rPh sb="13" eb="14">
      <t>ジ</t>
    </rPh>
    <rPh sb="15" eb="17">
      <t>セントウ</t>
    </rPh>
    <rPh sb="17" eb="18">
      <t>ギョウ</t>
    </rPh>
    <rPh sb="19" eb="21">
      <t>ハンカク</t>
    </rPh>
    <rPh sb="22" eb="24">
      <t>モジ</t>
    </rPh>
    <rPh sb="24" eb="25">
      <t>ア</t>
    </rPh>
    <rPh sb="28" eb="30">
      <t>ギョウメ</t>
    </rPh>
    <rPh sb="31" eb="33">
      <t>ジドウ</t>
    </rPh>
    <rPh sb="33" eb="36">
      <t>ケイサンシキ</t>
    </rPh>
    <rPh sb="36" eb="38">
      <t>イガイ</t>
    </rPh>
    <rPh sb="39" eb="41">
      <t>シュツリョク</t>
    </rPh>
    <phoneticPr fontId="1"/>
  </si>
  <si>
    <t>0.14</t>
    <phoneticPr fontId="1"/>
  </si>
  <si>
    <t>計算シートからバージョン番号（A列）を出力するようにした。（NgDmuSim_v109a11以降を使用のこと。）計量物落下時間を自動計算の袋情報に追加した。</t>
    <rPh sb="0" eb="2">
      <t>ケイサン</t>
    </rPh>
    <rPh sb="12" eb="14">
      <t>バンゴウ</t>
    </rPh>
    <rPh sb="16" eb="17">
      <t>レツ</t>
    </rPh>
    <rPh sb="19" eb="21">
      <t>シュツリョク</t>
    </rPh>
    <rPh sb="46" eb="48">
      <t>イコウ</t>
    </rPh>
    <rPh sb="49" eb="51">
      <t>シヨウ</t>
    </rPh>
    <rPh sb="56" eb="63">
      <t>ケイリョウブツラッカジカン</t>
    </rPh>
    <rPh sb="64" eb="66">
      <t>ジドウ</t>
    </rPh>
    <rPh sb="66" eb="68">
      <t>ケイサン</t>
    </rPh>
    <rPh sb="69" eb="70">
      <t>フクロ</t>
    </rPh>
    <rPh sb="70" eb="72">
      <t>ジョウホウ</t>
    </rPh>
    <rPh sb="73" eb="75">
      <t>ツイカ</t>
    </rPh>
    <phoneticPr fontId="1"/>
  </si>
  <si>
    <t>0.15</t>
    <phoneticPr fontId="1"/>
  </si>
  <si>
    <t>0.16</t>
    <phoneticPr fontId="1"/>
  </si>
  <si>
    <t>0.17</t>
  </si>
  <si>
    <t>0.18</t>
  </si>
  <si>
    <t>0.19</t>
  </si>
  <si>
    <t>0.20</t>
  </si>
  <si>
    <t>0.21</t>
  </si>
  <si>
    <t>0.22</t>
  </si>
  <si>
    <t>0.23</t>
  </si>
  <si>
    <t>0.24</t>
  </si>
  <si>
    <t>0.25</t>
  </si>
  <si>
    <t>0.26</t>
  </si>
  <si>
    <t>0.27</t>
  </si>
  <si>
    <t>0.28</t>
  </si>
  <si>
    <t>0.29</t>
  </si>
  <si>
    <t>0.30</t>
  </si>
  <si>
    <t>0.31</t>
  </si>
  <si>
    <t>0.32</t>
  </si>
  <si>
    <t>0.33</t>
  </si>
  <si>
    <t>0.34</t>
  </si>
  <si>
    <t>addr</t>
  </si>
  <si>
    <t>tag</t>
  </si>
  <si>
    <t>comment</t>
  </si>
  <si>
    <t>default</t>
  </si>
  <si>
    <t>upper</t>
  </si>
  <si>
    <t>lower</t>
  </si>
  <si>
    <t>change_on_running</t>
  </si>
  <si>
    <t>attribute</t>
  </si>
  <si>
    <t>自動計算</t>
    <rPh sb="0" eb="2">
      <t>ジドウ</t>
    </rPh>
    <rPh sb="2" eb="4">
      <t>ケイサン</t>
    </rPh>
    <phoneticPr fontId="1"/>
  </si>
  <si>
    <t>PRESET_CODE</t>
  </si>
  <si>
    <t>予約番号（表示用）</t>
  </si>
  <si>
    <t>0x01011010</t>
  </si>
  <si>
    <t>PRESET_ATTRIBUTE</t>
  </si>
  <si>
    <t>予約属性</t>
  </si>
  <si>
    <t>0xFFFFFFFF</t>
  </si>
  <si>
    <t>0x311010</t>
  </si>
  <si>
    <t>PRESET_NAME_1</t>
  </si>
  <si>
    <t>予約名称</t>
  </si>
  <si>
    <t>0x411010</t>
  </si>
  <si>
    <t>PRESET_NAME_2</t>
  </si>
  <si>
    <t>PRESET_NAME_3</t>
  </si>
  <si>
    <t>PRESET_NAME_4</t>
  </si>
  <si>
    <t>PRESET_NAME_5</t>
  </si>
  <si>
    <t>PRESET_NAME_6</t>
  </si>
  <si>
    <t>PRESET_NAME_7</t>
  </si>
  <si>
    <t>PRESET_NAME_8</t>
  </si>
  <si>
    <t>PRESET_NAME_9</t>
  </si>
  <si>
    <t>PRESET_NAME_10</t>
  </si>
  <si>
    <t>PRESET_NAME_11</t>
  </si>
  <si>
    <t>PRESET_NAME_12</t>
  </si>
  <si>
    <t>PRESET_NAME_13</t>
  </si>
  <si>
    <t>PRESET_NAME_14</t>
  </si>
  <si>
    <t>PRESET_NAME_15</t>
  </si>
  <si>
    <t>PRESET_NAME_16</t>
  </si>
  <si>
    <t>PRESET_NAME_17</t>
  </si>
  <si>
    <t>PRESET_NAME_18</t>
  </si>
  <si>
    <t>PRESET_NAME_19</t>
  </si>
  <si>
    <t>PRESET_NAME_20</t>
  </si>
  <si>
    <t>PRESET_NAME_21</t>
  </si>
  <si>
    <t>PRESET_NAME_22</t>
  </si>
  <si>
    <t>PRESET_NAME_23</t>
  </si>
  <si>
    <t>PRESET_NAME_24</t>
  </si>
  <si>
    <t>0x511010</t>
  </si>
  <si>
    <t>PRESET_STOP_TIME_YEAR</t>
  </si>
  <si>
    <t>この予約の停止時刻（年）</t>
  </si>
  <si>
    <t>0x211010</t>
  </si>
  <si>
    <t>PRESET_STOP_TIME_MONTH</t>
  </si>
  <si>
    <t>この予約の停止時刻（月）</t>
  </si>
  <si>
    <t>PRESET_STOP_TIME_DAY</t>
  </si>
  <si>
    <t>この予約の停止時刻（日）</t>
  </si>
  <si>
    <t>PRESET_STOP_TIME_HOUR</t>
  </si>
  <si>
    <t>この予約の停止時刻（時）</t>
  </si>
  <si>
    <t>PRESET_STOP_TIME_MINUTE</t>
  </si>
  <si>
    <t>この予約の停止時刻（分）</t>
  </si>
  <si>
    <t>PRESET_STOP_TIME_SECOND</t>
  </si>
  <si>
    <t>この予約の停止時刻（秒）</t>
  </si>
  <si>
    <t>CCW_PRESET_SETTING</t>
  </si>
  <si>
    <t>CCW設定予約番号</t>
  </si>
  <si>
    <t>0x11010</t>
  </si>
  <si>
    <t>TSC_PRESET_SETTING</t>
  </si>
  <si>
    <t>TSC設定予約番号</t>
  </si>
  <si>
    <t>DACS_PRESET_SETTING</t>
  </si>
  <si>
    <t>DACS設定予約番号</t>
  </si>
  <si>
    <t>IX_PRESET_SETTING</t>
  </si>
  <si>
    <t>IX設定予約番号</t>
  </si>
  <si>
    <t>ACP_PRESET_SETTING</t>
  </si>
  <si>
    <t>ACP設定予約番号</t>
  </si>
  <si>
    <t>PRINTER_PRESET_SETTING</t>
  </si>
  <si>
    <t>PRINTER設定予約番号</t>
  </si>
  <si>
    <t>CAMERA_PRESET_SETTING</t>
  </si>
  <si>
    <t>CAMERA設定予約番号</t>
  </si>
  <si>
    <t>METAL_PRESET_SETTING</t>
  </si>
  <si>
    <t>METAL設定予約番号</t>
  </si>
  <si>
    <t>0x00011010</t>
  </si>
  <si>
    <t>PRINTER_JOB_NAME_1</t>
  </si>
  <si>
    <t>PRINTERジョブ名称</t>
  </si>
  <si>
    <t>PRINTER_JOB_NAME_2</t>
  </si>
  <si>
    <t>PRINTER_JOB_NAME_3</t>
  </si>
  <si>
    <t>PRINTER_JOB_NAME_4</t>
  </si>
  <si>
    <t>PRINTER_JOB_NAME_5</t>
  </si>
  <si>
    <t>PRINTER_JOB_NAME_6</t>
  </si>
  <si>
    <t>FILM_CODE_1</t>
  </si>
  <si>
    <t>フィルムコード1</t>
  </si>
  <si>
    <t>FILM_CODE_2</t>
  </si>
  <si>
    <t>フィルムコード2</t>
  </si>
  <si>
    <t>FILM_CODE_3</t>
  </si>
  <si>
    <t>フィルムコード3</t>
  </si>
  <si>
    <t>FILM_CODE_4</t>
  </si>
  <si>
    <t>フィルムコード4</t>
  </si>
  <si>
    <t>SET_BACK_MAIN</t>
  </si>
  <si>
    <t>設定温度 縦シールメイン</t>
  </si>
  <si>
    <t>0x01041012</t>
  </si>
  <si>
    <t>SET_BACK_SUB</t>
  </si>
  <si>
    <t>設定温度 縦シールサブ</t>
  </si>
  <si>
    <t>SET_REAR_A</t>
  </si>
  <si>
    <t>設定温度 横シールリアA</t>
  </si>
  <si>
    <t>SET_FRONT_A</t>
  </si>
  <si>
    <t>設定温度 横シールフロントA</t>
  </si>
  <si>
    <t>SET_REAR_B</t>
  </si>
  <si>
    <t>設定温度 横シールリアB</t>
  </si>
  <si>
    <t>SET_FRONT_B</t>
  </si>
  <si>
    <t>設定温度 横シールフロントB</t>
  </si>
  <si>
    <t>BURN_THROUGH_ONOFF</t>
  </si>
  <si>
    <t>バーンスルーオンオフ</t>
  </si>
  <si>
    <t>0x00061010</t>
  </si>
  <si>
    <t>BURN_THROUGH_ON_DUTY</t>
  </si>
  <si>
    <t>バーンスルーオン時間比率</t>
  </si>
  <si>
    <t>0x00041010</t>
  </si>
  <si>
    <t>SET_ASP_TEMP</t>
  </si>
  <si>
    <t>設定温度 オートスプライサー</t>
  </si>
  <si>
    <t>0x00021012</t>
  </si>
  <si>
    <t>NEEDLE_DEAERATION_ONOFF</t>
  </si>
  <si>
    <t>針式脱気機構の使用の有無</t>
  </si>
  <si>
    <t>0x00021010</t>
  </si>
  <si>
    <t>NEEDLE_DEAERATION_DELAY</t>
  </si>
  <si>
    <t>針式脱気機構の動作開始までの遅延時間_x000D_
起点はフィルム搬送終了時</t>
  </si>
  <si>
    <t>NEEDLE_DEAERATION_POS_Y</t>
  </si>
  <si>
    <t>針式脱気装置のローラー位置のメモ用アドレスです。_x000D_
予約変更時に設定値の通知を行います。</t>
  </si>
  <si>
    <t>NEEDLE_DEAERATION_POS_X</t>
  </si>
  <si>
    <t>針式脱気装置の針位置の設定項目</t>
  </si>
  <si>
    <t>REMODEL_BOBBIN_POS</t>
  </si>
  <si>
    <t>REMODEL用ボビン位置_x000D_
トラッキングの種類がボビンタイプor全体仕様の場合に有効</t>
  </si>
  <si>
    <t>PRECEDING_AIRJET_ONOFF</t>
  </si>
  <si>
    <t>先行エアジェットON/OFF</t>
  </si>
  <si>
    <t>FULL_AUTO_DUMP_ONOFF</t>
  </si>
  <si>
    <t>予約設定　フルオートダンプのONOFF</t>
  </si>
  <si>
    <t>0x00031010</t>
  </si>
  <si>
    <t>FULL_AUTO_DUMP_REFERENCE_VALUE</t>
  </si>
  <si>
    <t>フルオートダンプ　計量物落下時間の基準値</t>
  </si>
  <si>
    <t>FULL_AUTO_DUMP_ADJUST_VALUE</t>
  </si>
  <si>
    <t>フルオートダンプ　計量物落下時間の調整値</t>
  </si>
  <si>
    <t>AUTO_REGMARK_POSITION</t>
  </si>
  <si>
    <t>予約設定 レジマーク自動位置調整</t>
  </si>
  <si>
    <t>0x00031012</t>
  </si>
  <si>
    <t>PERFORATION_CUTTER_ONOFF</t>
  </si>
  <si>
    <t>ミシン目カット装置　予約設定_x000D_
使用の有無</t>
  </si>
  <si>
    <t>PERFORATION_CUTTING_POSITION</t>
  </si>
  <si>
    <t>ミシン目カット装置　予約設定_x000D_
フィルム送り開始位置からナイフ動作までの距離</t>
  </si>
  <si>
    <t>PERFORATION_CUT_ON_TIME</t>
  </si>
  <si>
    <t>ミシン目カット装置　予約設定_x000D_
切り離しナイフのオン時間</t>
  </si>
  <si>
    <t>PERFORATION_CUT_CNT</t>
  </si>
  <si>
    <t>ミシン目カット装置　予約設定_x000D_
連包数の指定</t>
  </si>
  <si>
    <t>INTERLOCKING_BAG_SPEED</t>
  </si>
  <si>
    <t>運転中能力変更  連動中能力</t>
  </si>
  <si>
    <t>CHARGE_COMPACTION_ONOFF</t>
  </si>
  <si>
    <t>予約設定チャージコンパクションONOFF</t>
  </si>
  <si>
    <t>CC_BRUSH_SPEED</t>
  </si>
  <si>
    <t>予約設定チャージコンパクションブラシレスモーター回転速度</t>
  </si>
  <si>
    <t>AUTO_STOP_RESTART_TIME</t>
  </si>
  <si>
    <t>自動停止機能の自動復帰時間</t>
  </si>
  <si>
    <t>NEEDLE_DEAERATION_SHIFT_COUNT</t>
  </si>
  <si>
    <t>針式脱気機構のシフト数[袋]</t>
  </si>
  <si>
    <t>NEEDLE_DEAERATION_DELAY_RATE</t>
  </si>
  <si>
    <t>針式脱気機構の動作開始までの遅延時間率_x000D_
起点はダンプ終了後（フィルム送り開始時）</t>
  </si>
  <si>
    <t>DACS2_PRESET_SETTING</t>
  </si>
  <si>
    <t>DACS2設定予約番号</t>
  </si>
  <si>
    <t>FILM_FEED_CONST_ONOFF_DEFAULT_ZERO</t>
  </si>
  <si>
    <t>フィルム送り等速ONOFF(ロータリー機)</t>
  </si>
  <si>
    <t>BAG_AIR_FILL_HEIGHT_ONOFF</t>
  </si>
  <si>
    <t>袋厚み調整ユニット降下ONOFF</t>
  </si>
  <si>
    <t>BLANK_DATA_PRESET_15082</t>
  </si>
  <si>
    <t>予約設定BLANK</t>
  </si>
  <si>
    <t>BLANK_DATA_PRESET_15083</t>
  </si>
  <si>
    <t>BLANK_DATA_PRESET_15084</t>
  </si>
  <si>
    <t>BLANK_DATA_PRESET_15085</t>
  </si>
  <si>
    <t>CC_STANDBY_POS_ADJ</t>
  </si>
  <si>
    <t>チャージコンパクションスタンバイ位置調整</t>
  </si>
  <si>
    <t>CC_CLOSE_LIMIT_ADJ</t>
  </si>
  <si>
    <t>チャージコンパクション閉限界調整</t>
  </si>
  <si>
    <t>CC_OPEN_DUTY</t>
  </si>
  <si>
    <t>チャージコンパクション</t>
  </si>
  <si>
    <t>CC_ON_DUTY</t>
  </si>
  <si>
    <t>CC_CLOSE_DUTY</t>
  </si>
  <si>
    <t>CC_CLOSE_DELAY_DUTY</t>
  </si>
  <si>
    <t>BARCODE_HANDY_BANK</t>
  </si>
  <si>
    <t>ハンディバーコード検知バンク切り替え</t>
  </si>
  <si>
    <t>BARCODE_INLINE_BANK</t>
  </si>
  <si>
    <t>連続検査バーコード検知バンク切り替え</t>
  </si>
  <si>
    <t>BARCODE_1</t>
  </si>
  <si>
    <t>バーコード１</t>
  </si>
  <si>
    <t>BARCODE_2</t>
  </si>
  <si>
    <t>バーコード２</t>
  </si>
  <si>
    <t>BARCODE_3</t>
  </si>
  <si>
    <t>バーコード３</t>
  </si>
  <si>
    <t>BARCODE_4</t>
  </si>
  <si>
    <t>バーコード４</t>
  </si>
  <si>
    <t>BARCODE_HANDY_ONOFF</t>
  </si>
  <si>
    <t>ハンディバーコードリーダー</t>
  </si>
  <si>
    <t>BARCODE_INLINE_ONOFF</t>
  </si>
  <si>
    <t>連続検査バーコードリーダー</t>
  </si>
  <si>
    <t>BAG_LENGTH</t>
  </si>
  <si>
    <t>袋長</t>
  </si>
  <si>
    <t>0x321012</t>
  </si>
  <si>
    <t>BAG_WIDTH</t>
  </si>
  <si>
    <t>袋幅</t>
  </si>
  <si>
    <t>BAG_THICKNESS</t>
  </si>
  <si>
    <t>袋厚み</t>
  </si>
  <si>
    <t>0x21012</t>
  </si>
  <si>
    <t>BAG_STYLE</t>
  </si>
  <si>
    <t>袋形状</t>
  </si>
  <si>
    <t>BAG_SPEED</t>
  </si>
  <si>
    <t>能力</t>
  </si>
  <si>
    <t>0x321010</t>
  </si>
  <si>
    <t>END_SEAL_DUTY</t>
  </si>
  <si>
    <t>横シールDuty</t>
  </si>
  <si>
    <t>STRIP_STANDBY_POS</t>
  </si>
  <si>
    <t>しごき待機位置</t>
  </si>
  <si>
    <t>0x21010</t>
  </si>
  <si>
    <t>END_SEAL_PRESSURE</t>
  </si>
  <si>
    <t>横シール圧力</t>
  </si>
  <si>
    <t>BACK_SEAL_PRESSURE</t>
  </si>
  <si>
    <t>縦シール圧力</t>
  </si>
  <si>
    <t>FILM_WIDTH</t>
  </si>
  <si>
    <t>フィルム幅</t>
  </si>
  <si>
    <t>STRIP_LENGTH</t>
    <phoneticPr fontId="1"/>
  </si>
  <si>
    <t>しごき長さ</t>
  </si>
  <si>
    <t>FILM_TENSION</t>
  </si>
  <si>
    <t>フィルムテンション</t>
  </si>
  <si>
    <t>DANCER_TARGET_POSITION</t>
  </si>
  <si>
    <t>ダンサーバー待機位置</t>
  </si>
  <si>
    <t>DATE_CODER_TRIGGER_POSITION</t>
  </si>
  <si>
    <t>レジマーク検知できてから印字開始までの距離</t>
  </si>
  <si>
    <t>FLAME_TRACKING_POSITION</t>
    <phoneticPr fontId="1"/>
  </si>
  <si>
    <t>フレームトラッキング位置</t>
  </si>
  <si>
    <t>0x01021012</t>
  </si>
  <si>
    <t>DUMP_TIMING</t>
  </si>
  <si>
    <t>商品落下タイミング</t>
  </si>
  <si>
    <t>0x01021010</t>
  </si>
  <si>
    <t>DUMP_COUNT</t>
  </si>
  <si>
    <t>商品落下回数</t>
  </si>
  <si>
    <t>ASP_ONOFF</t>
  </si>
  <si>
    <t>オートスプライサー予約設定ONOFF</t>
  </si>
  <si>
    <t>DUMP_REJECT_MODE</t>
  </si>
  <si>
    <t>計量物不良排出モード</t>
  </si>
  <si>
    <t>REGMARK_ONOFF</t>
    <phoneticPr fontId="1"/>
  </si>
  <si>
    <t>レジマークON/OFF</t>
  </si>
  <si>
    <t>REGMARK_LENGTH</t>
  </si>
  <si>
    <t>レジマーク長さ</t>
  </si>
  <si>
    <t>REGMARK_POSITION</t>
  </si>
  <si>
    <t>レジマーク位置</t>
  </si>
  <si>
    <t>SPLICE_ONOFF</t>
  </si>
  <si>
    <t>継ぎ目検知</t>
  </si>
  <si>
    <t>END_SEAL_TIME_MSEC</t>
  </si>
  <si>
    <t>横シール時間（msec表記）</t>
  </si>
  <si>
    <t>SPLICE_SHIFT_COUNT</t>
  </si>
  <si>
    <t>SPLICE_REJECT_MODE</t>
  </si>
  <si>
    <t>継ぎ目不良排出モード</t>
  </si>
  <si>
    <t>JAW_JAM_ONOFF</t>
  </si>
  <si>
    <t>噛み込みON/OFF</t>
  </si>
  <si>
    <t>JAW_JAM_PLS</t>
  </si>
  <si>
    <t>噛み込みパルス</t>
  </si>
  <si>
    <t>PRINT_ONOFF</t>
  </si>
  <si>
    <t>印字ON/OFF</t>
  </si>
  <si>
    <t>PRINT_DELAY</t>
  </si>
  <si>
    <t>印字ディレイ</t>
  </si>
  <si>
    <t>STABILIZER_GAP</t>
  </si>
  <si>
    <t>スタビライザー開き幅</t>
  </si>
  <si>
    <t>STABILIZER_SPEED</t>
  </si>
  <si>
    <t>スタビライザー回転速度</t>
  </si>
  <si>
    <t>PRINT_SHIFT_COUNT</t>
  </si>
  <si>
    <t>PRINT_REJECT_MODE</t>
  </si>
  <si>
    <t>印字不良排出モード</t>
  </si>
  <si>
    <t>PRINT_X_POSITION</t>
  </si>
  <si>
    <t>プリンター位置Ｘ</t>
  </si>
  <si>
    <t>PRINT_Y_POSITION</t>
  </si>
  <si>
    <t>プリンター位置Ｙ</t>
  </si>
  <si>
    <t>CAMERA_ONOFF</t>
  </si>
  <si>
    <t>カメラON/OFF</t>
  </si>
  <si>
    <t>CAMERA_SCAN_POSITION</t>
  </si>
  <si>
    <t>カメラトリガ位置調整</t>
  </si>
  <si>
    <t>AUTO_STOP_SETTING_COUNT</t>
  </si>
  <si>
    <t>自動停止設定袋数</t>
  </si>
  <si>
    <t>CAMERA_SCAN_TIME</t>
  </si>
  <si>
    <t>カメラ検査時間</t>
  </si>
  <si>
    <t>CAMERA_SHIFT_COUNT</t>
  </si>
  <si>
    <t>カメラシフト数</t>
  </si>
  <si>
    <t>CAMERA_REJECT_MODE</t>
  </si>
  <si>
    <t>カメラ不良排出モード</t>
  </si>
  <si>
    <t>STABILIZER_ONOFF</t>
  </si>
  <si>
    <t>スタビライザーONOFF</t>
  </si>
  <si>
    <t>ASP_SHIFT_COUNT</t>
  </si>
  <si>
    <t>シフト数</t>
  </si>
  <si>
    <t>ASP_REJECT_COUNT</t>
  </si>
  <si>
    <t>排出袋数</t>
  </si>
  <si>
    <t>METAL_ONOFF</t>
  </si>
  <si>
    <t>金検ON/OFF</t>
  </si>
  <si>
    <t>METAL_REJECT_MODE</t>
  </si>
  <si>
    <t>金検不良排出モード</t>
  </si>
  <si>
    <t>KNIFE_ONOFF</t>
  </si>
  <si>
    <t>ナイフON/OFF</t>
  </si>
  <si>
    <t>KNIFE_DELAY</t>
    <phoneticPr fontId="1"/>
  </si>
  <si>
    <t>ナイフ動作ディレイ</t>
  </si>
  <si>
    <t>KNIFE_ON_DUTY</t>
  </si>
  <si>
    <t>AIRJET_ONOFF</t>
  </si>
  <si>
    <t>エアジェットON/OFF</t>
  </si>
  <si>
    <t>AIRJET_DELAY</t>
  </si>
  <si>
    <t>エアジェット動作ディレイ</t>
  </si>
  <si>
    <t>AIRJET_ON_DUTY</t>
  </si>
  <si>
    <t>エアジェットオンDuty</t>
  </si>
  <si>
    <t>END_SEAL_COLING_ONOFF</t>
  </si>
  <si>
    <t>横シール冷却ON/OFF</t>
  </si>
  <si>
    <t>END_SEAL_COLING_DELAY</t>
  </si>
  <si>
    <t>横シール冷却動作ディレイ</t>
  </si>
  <si>
    <t>END_SEAL_COLING_ON_DUTY</t>
  </si>
  <si>
    <t>横シール冷却オンDuty</t>
  </si>
  <si>
    <t>N2_ONOFF</t>
  </si>
  <si>
    <t>窒素充填ONOFF</t>
  </si>
  <si>
    <t>N2_FLOW_LOW</t>
  </si>
  <si>
    <t>窒素流量 低圧</t>
  </si>
  <si>
    <t>ASP_FILM_END_SENSOR_NG_SHIFT_COUNT</t>
  </si>
  <si>
    <t>オートスプライサーフィルムエンドセンサー検知シフト数</t>
  </si>
  <si>
    <t>N2_TEACH_FLOW</t>
  </si>
  <si>
    <t>窒素出力基準値</t>
  </si>
  <si>
    <t>M1_START_DELAY_DUTY</t>
  </si>
  <si>
    <t>M1 開始ディレイDuty</t>
  </si>
  <si>
    <t>M1_STRIP_LEVEL</t>
  </si>
  <si>
    <t>しごきレベル</t>
  </si>
  <si>
    <t>M1_BLOWSING_LENGTH</t>
  </si>
  <si>
    <t>ブラウジング長さ</t>
  </si>
  <si>
    <t>MIDDLE_SHUTTER_CNT</t>
  </si>
  <si>
    <t>シャッターの動作回数</t>
  </si>
  <si>
    <t>M2_START_DELAY_DUTY</t>
  </si>
  <si>
    <t>M2 開始ディレイDuty</t>
  </si>
  <si>
    <t>ASP_SEAL_TEMP</t>
  </si>
  <si>
    <t>ヒータ温度</t>
  </si>
  <si>
    <t>ASP_SEAL_TIME</t>
  </si>
  <si>
    <t>オートスプライサーシール時間</t>
  </si>
  <si>
    <t>REGMARK_SENS_POS</t>
  </si>
  <si>
    <t>レジマークセンサー位置</t>
  </si>
  <si>
    <t>ASP_SEAL_COOLING_TIME</t>
  </si>
  <si>
    <t>ASPシール冷却</t>
  </si>
  <si>
    <t>M2_RETURN_WAIT_DUTY</t>
  </si>
  <si>
    <t>M2 上昇待機Duty</t>
  </si>
  <si>
    <t>STRIP_MOTION_SELECT</t>
  </si>
  <si>
    <t>Ｍ２の振り子動作</t>
  </si>
  <si>
    <t>BLANK_DATA_15172_USED</t>
  </si>
  <si>
    <t>使用禁止</t>
  </si>
  <si>
    <t>BLANK_DATA_15173_USED</t>
  </si>
  <si>
    <t>M3_START_DELAY_DUTY</t>
  </si>
  <si>
    <t>M3 開始ディレイDuty</t>
  </si>
  <si>
    <t>BLANK_DATA_15175_USED</t>
  </si>
  <si>
    <t>BLANK_DATA_15176_USED</t>
  </si>
  <si>
    <t>BLANK_DATA_P15177_USED</t>
  </si>
  <si>
    <t>M3_STRIP_WAIT_DUTY</t>
  </si>
  <si>
    <t>M3 しごき待機Duty</t>
  </si>
  <si>
    <t>M3_SEAL_DELAY_DUTY</t>
  </si>
  <si>
    <t>M3シールまでのDuty</t>
  </si>
  <si>
    <t>BLANK_DATA_15180_USED</t>
  </si>
  <si>
    <t>BLANK_DATA_15181_USED</t>
  </si>
  <si>
    <t>BLANK_DATA_15182_USED</t>
  </si>
  <si>
    <t>M4_M1_FITTING_RATE</t>
  </si>
  <si>
    <t>M4 M1同調比率</t>
  </si>
  <si>
    <t>M4_FILM_SYNC_RATE</t>
  </si>
  <si>
    <t>M4 フィルム同調率</t>
  </si>
  <si>
    <t>FILM_END_HIGH_POS</t>
  </si>
  <si>
    <t>フィルムエンド上限エンコーダ値</t>
  </si>
  <si>
    <t>FILM_END_LOW_POS</t>
  </si>
  <si>
    <t>フィルムエンド下限エンコーダ値</t>
  </si>
  <si>
    <t>M5_SEAL_ON_DUTY</t>
  </si>
  <si>
    <t>M5 シールオンDuty</t>
  </si>
  <si>
    <t>M5_SEAL_DELAY_DUTY</t>
  </si>
  <si>
    <t>M5 シールディレイDuty</t>
  </si>
  <si>
    <t>HOLE_PUNCH_ONOFF</t>
  </si>
  <si>
    <t>ホールパンチオンオフ</t>
  </si>
  <si>
    <t>0x61010</t>
  </si>
  <si>
    <t>N2_HIGH_FLOW_TIME</t>
  </si>
  <si>
    <t>窒素充填　高圧噴射時間</t>
  </si>
  <si>
    <t>N2_ERR_CHECK_BAND</t>
  </si>
  <si>
    <t>窒素充填　流量エラー検知幅</t>
  </si>
  <si>
    <t>CONVEYOR_SPEED</t>
  </si>
  <si>
    <t>コンベア速度</t>
  </si>
  <si>
    <t>CONVEYOR_STOP_DELAY</t>
  </si>
  <si>
    <t>コンベア停止遅れ時間</t>
  </si>
  <si>
    <t>CONVEYOR_RUN_MODE</t>
  </si>
  <si>
    <t>コンベア運転モード</t>
  </si>
  <si>
    <t>CONVEYOR_MOTION_TYPE</t>
  </si>
  <si>
    <t>コンベア動作種類</t>
  </si>
  <si>
    <t>BACK_SEAL_COLING_ONOFF</t>
  </si>
  <si>
    <t>縦冷却オンオフ</t>
  </si>
  <si>
    <t>BACK_SEAL_COLING_DELAY</t>
  </si>
  <si>
    <t>縦冷却動作ディレイ</t>
  </si>
  <si>
    <t>BACK_SEAL_COLING_ON_DUTY</t>
  </si>
  <si>
    <t>縦冷却オンDuty</t>
  </si>
  <si>
    <t>AUTO_TRACKING_ONOFF</t>
  </si>
  <si>
    <t>オートトラッキングオンオフ</t>
  </si>
  <si>
    <t>AUTO_TRACKING_MODE</t>
  </si>
  <si>
    <t>オートトラッキング動作モード</t>
  </si>
  <si>
    <t>N2_PAUSE_DELAY</t>
  </si>
  <si>
    <t>再高圧噴射待機時間</t>
  </si>
  <si>
    <t>LOW_PRODUCT_DELAY_TIME</t>
  </si>
  <si>
    <t>ロープロ移行ディレイ時間</t>
  </si>
  <si>
    <t>AUTO_TRACKING_DELAY_DUTY</t>
  </si>
  <si>
    <t>オートトラッキングディレイDuty</t>
  </si>
  <si>
    <t>PRINTER_ERR_NO_DUMP_MODE</t>
  </si>
  <si>
    <t>プリンタエラー時空袋排出ONOFF</t>
  </si>
  <si>
    <t>M1_FILM_FEED_DUTY</t>
  </si>
  <si>
    <t>M1_フィルム送りDuty</t>
  </si>
  <si>
    <t>BLANK_DATA_15206_USED</t>
  </si>
  <si>
    <t>M2_STRIPPING_DUTY</t>
  </si>
  <si>
    <t>M2_しごき動作Duty</t>
  </si>
  <si>
    <t>M2_RETURN_DUTY</t>
  </si>
  <si>
    <t>M2_しごき戻りDuty</t>
  </si>
  <si>
    <t>M3_CLOSE_DUTY</t>
  </si>
  <si>
    <t>M3_閉Duty</t>
  </si>
  <si>
    <t>M3_OPEN_DUTY</t>
  </si>
  <si>
    <t>M3_開Duty</t>
  </si>
  <si>
    <t>HOLE_PUNCH_ON_DUTY</t>
  </si>
  <si>
    <t>ホールパンチオンDuty</t>
  </si>
  <si>
    <t>M2_PRE_RETURN_LENGTH</t>
  </si>
  <si>
    <t>M2_先戻り量</t>
  </si>
  <si>
    <t>AIRJET2_ONOFF</t>
  </si>
  <si>
    <t>エアジェット2ON/OFF</t>
  </si>
  <si>
    <t>AIRJET2_DELAY</t>
  </si>
  <si>
    <t>エアジェット2動作ディレイ</t>
  </si>
  <si>
    <t>AIRJET2_ON_DUTY</t>
  </si>
  <si>
    <t>エアジェット2オンDuty</t>
  </si>
  <si>
    <t>AIRJET3_ONOFF</t>
  </si>
  <si>
    <t>エアジェット3ON/OFF</t>
  </si>
  <si>
    <t>AIRJET3_DELAY</t>
  </si>
  <si>
    <t>エアジェット3動作ディレイ</t>
  </si>
  <si>
    <t>AIRJET3_ON_DUTY</t>
  </si>
  <si>
    <t>エアジェット3オンDuty</t>
  </si>
  <si>
    <t>AIRJET4_ONOFF</t>
  </si>
  <si>
    <t>エアジェット4ON/OFF</t>
  </si>
  <si>
    <t>AIRJET4_DELAY</t>
  </si>
  <si>
    <t>エアジェット4動作ディレイ</t>
  </si>
  <si>
    <t>AIRJET4_ON_DUTY</t>
  </si>
  <si>
    <t>エアジェット4オンDuty</t>
  </si>
  <si>
    <t>AIRJET5_ONOFF</t>
  </si>
  <si>
    <t>エアジェット5ON/OFF</t>
  </si>
  <si>
    <t>AIRJET5_DELAY</t>
  </si>
  <si>
    <t>エアジェット5動作ディレイ</t>
  </si>
  <si>
    <t>AIRJET5_ON_DUTY</t>
  </si>
  <si>
    <t>エアジェット5オンDuty</t>
  </si>
  <si>
    <t>PERFORATION_ON_DUTY</t>
  </si>
  <si>
    <t>ミシン目オン時間</t>
  </si>
  <si>
    <t>JAWJAM_REJECT_MODE</t>
  </si>
  <si>
    <t>噛み込み排出モード</t>
  </si>
  <si>
    <t>M1_FEED_COUNT</t>
  </si>
  <si>
    <t>フィルム送り回数</t>
  </si>
  <si>
    <t>M1_START_DELAY_DUTY2</t>
  </si>
  <si>
    <t>M1 開始ディレイDuty2</t>
  </si>
  <si>
    <t>M1_FILM_FEED_DUTY2</t>
  </si>
  <si>
    <t>M1_フィルム送りDuty2</t>
  </si>
  <si>
    <t>M1_START_DELAY_DUTY3</t>
  </si>
  <si>
    <t>M1 開始ディレイDuty3</t>
  </si>
  <si>
    <t>M1_FILM_FEED_DUTY3</t>
  </si>
  <si>
    <t>M1_フィルム送りDuty3</t>
  </si>
  <si>
    <t>M1_START_DELAY_DUTY4</t>
  </si>
  <si>
    <t>M1 開始ディレイDuty4</t>
  </si>
  <si>
    <t>M1_FILM_FEED_DUTY4</t>
  </si>
  <si>
    <t>M1_フィルム送りDuty4</t>
  </si>
  <si>
    <t>M1_START_DELAY_DUTY5</t>
  </si>
  <si>
    <t>M1 開始ディレイDuty5</t>
  </si>
  <si>
    <t>M1_FILM_FEED_DUTY5</t>
  </si>
  <si>
    <t>M1_フィルム送りDuty5</t>
  </si>
  <si>
    <t>M5_SEAL_COUNT</t>
  </si>
  <si>
    <t>バックシール回数</t>
  </si>
  <si>
    <t>M5_SEAL_ON_DUTY2</t>
  </si>
  <si>
    <t>M5 シールオンDuty2</t>
  </si>
  <si>
    <t>M5_SEAL_DELAY_DUTY2</t>
  </si>
  <si>
    <t>M5 シールディレイDuty2</t>
  </si>
  <si>
    <t>M5_SEAL_ON_DUTY3</t>
  </si>
  <si>
    <t>M5 シールオンDuty3</t>
  </si>
  <si>
    <t>M5_SEAL_DELAY_DUTY3</t>
  </si>
  <si>
    <t>M5 シールディレイDuty3</t>
  </si>
  <si>
    <t>M5_SEAL_ON_DUTY4</t>
  </si>
  <si>
    <t>M5 シールオンDuty4</t>
  </si>
  <si>
    <t>M5_SEAL_DELAY_DUTY4</t>
  </si>
  <si>
    <t>M5 シールディレイDuty4</t>
  </si>
  <si>
    <t>M5_SEAL_ON_DUTY5</t>
  </si>
  <si>
    <t>M5 シールオンDuty5</t>
  </si>
  <si>
    <t>M5_SEAL_DELAY_DUTY5</t>
  </si>
  <si>
    <t>M5 シールディレイDuty5</t>
  </si>
  <si>
    <t>DUMP_REQ_DELAY1</t>
  </si>
  <si>
    <t>要求信号ディレイ1</t>
  </si>
  <si>
    <t>DUMP_REQ_DELAY2</t>
  </si>
  <si>
    <t>要求信号ディレイ2</t>
  </si>
  <si>
    <t>DUMP_REQ_DELAY3</t>
  </si>
  <si>
    <t>要求信号ディレイ3</t>
  </si>
  <si>
    <t>DUMP_REQ_DELAY4</t>
  </si>
  <si>
    <t>要求信号ディレイ4</t>
  </si>
  <si>
    <t>PRODUCT_DROP_TIME</t>
    <phoneticPr fontId="1"/>
  </si>
  <si>
    <t>商品落下時間選択</t>
    <phoneticPr fontId="1"/>
  </si>
  <si>
    <t>FORMER_ROLL_POS</t>
  </si>
  <si>
    <t>フォーマローラ位置</t>
  </si>
  <si>
    <t>BLANK_DATA_15251_USED</t>
  </si>
  <si>
    <t>EDGE_SENS_POSITION</t>
  </si>
  <si>
    <t>オートトラッキングセンサ位置</t>
  </si>
  <si>
    <t>REGMARK_BANK</t>
  </si>
  <si>
    <t>レジマークバンク</t>
  </si>
  <si>
    <t>HEADER_ONOFF</t>
  </si>
  <si>
    <t>ヘッダ連包オンオフ</t>
  </si>
  <si>
    <t>HEAD_LENGTH</t>
  </si>
  <si>
    <t>ヘッダ長さ</t>
  </si>
  <si>
    <t>BLANK_DATA_15256_USED</t>
  </si>
  <si>
    <t>PERFORATION_ONOFF</t>
  </si>
  <si>
    <t>ミシン目オンオフ</t>
  </si>
  <si>
    <t>PERFORATION_NUM</t>
  </si>
  <si>
    <t>ミシン目連包数</t>
  </si>
  <si>
    <t>HEADER_PRINT_ONOFF</t>
  </si>
  <si>
    <t>ヘッダ時ヘッダ印字有り無し</t>
  </si>
  <si>
    <t>EVERY_PRINT_ONOFF</t>
  </si>
  <si>
    <t>ヘッダ時毎袋印字有り無し</t>
  </si>
  <si>
    <t>BLANK_DATA_15261_USED</t>
  </si>
  <si>
    <t>CONVEYOR_DELAY_DUTY</t>
  </si>
  <si>
    <t>間欠コンベア遅れ時間</t>
  </si>
  <si>
    <t>CONVEYOR_ON_DUTY</t>
  </si>
  <si>
    <t>間欠コンベア動作時間</t>
  </si>
  <si>
    <t>CONVEYOR_STOP_CNT</t>
  </si>
  <si>
    <t>間欠コンベア停止回数</t>
  </si>
  <si>
    <t>JAWJAM_OFFSET_TIME</t>
  </si>
  <si>
    <t>噛み込み補正動作までの待機時間</t>
  </si>
  <si>
    <t>JAWJAM_OFFSET_BAG</t>
  </si>
  <si>
    <t>噛み込み補正袋数</t>
  </si>
  <si>
    <t>JAWJAM_OFFSET_PLS</t>
  </si>
  <si>
    <t>噛み込み補正パルス数</t>
  </si>
  <si>
    <t>FILM_LOW_DIR</t>
  </si>
  <si>
    <t>フィルムロー検知径</t>
  </si>
  <si>
    <t>NGBAG_SIG_DELAY_TIME</t>
  </si>
  <si>
    <t>不良排出信号ディレイ時間</t>
  </si>
  <si>
    <t>NGBAG_SIG_ON_TIME</t>
  </si>
  <si>
    <t>不良排出信号オン時間</t>
  </si>
  <si>
    <t>PAT_BAG_ONOFF</t>
  </si>
  <si>
    <t>袋たたきオンオフ</t>
  </si>
  <si>
    <t>PAT_BAG_SPEED</t>
  </si>
  <si>
    <t>袋たたき速度</t>
  </si>
  <si>
    <t>PAT_BAG_DELAY_DUTY</t>
  </si>
  <si>
    <t>袋たたき遅れ時間</t>
  </si>
  <si>
    <t>PAT_BAG_ON_DUTY</t>
  </si>
  <si>
    <t>袋たたき動作時間</t>
  </si>
  <si>
    <t>SIMPLE_GUSSET_ONOFF</t>
  </si>
  <si>
    <t>簡易ガセットオンオフ</t>
  </si>
  <si>
    <t>SIMPLE_GUSSET_DELAY_DUTY</t>
  </si>
  <si>
    <t>簡易ガセット遅れ時間</t>
  </si>
  <si>
    <t>SIMPLE_GUSSET_ON_DUTY</t>
  </si>
  <si>
    <t>簡易ガセット動作時間</t>
  </si>
  <si>
    <t>BAGSTRECHER_ONOFF</t>
  </si>
  <si>
    <t>袋伸張オンオフ</t>
  </si>
  <si>
    <t>BAGSTRECHER_DELAY_DUTY</t>
  </si>
  <si>
    <t>袋伸張遅れ時間</t>
  </si>
  <si>
    <t>BAGSTRECHER_ON_DUTY</t>
  </si>
  <si>
    <t>袋伸張動作時間</t>
  </si>
  <si>
    <t>BAG_AIR_FILL_ONOFF</t>
  </si>
  <si>
    <t>袋厚み調整</t>
  </si>
  <si>
    <t>BLANK_DATA_15282_USED</t>
  </si>
  <si>
    <t>BLANK_DATA_15283_USED</t>
  </si>
  <si>
    <t>BLANK_DATA_15284_USED</t>
  </si>
  <si>
    <t>BLANK_DATA_15285_USED</t>
  </si>
  <si>
    <t>M5_FILMFEED_GAIN</t>
  </si>
  <si>
    <t>縦シールフィルム送り同調率</t>
  </si>
  <si>
    <t>EVERY_CATCH_ONOFF</t>
  </si>
  <si>
    <t>毎回キャッチオンオフ</t>
  </si>
  <si>
    <t>FILM_SPACER_ONOFF</t>
  </si>
  <si>
    <t>フィルムスペーサ有り無し</t>
  </si>
  <si>
    <t>BRIDGE_SNS_TIME</t>
  </si>
  <si>
    <t>詰まり検知時間</t>
  </si>
  <si>
    <t>HEADER_BACKSEAL_ONOFF</t>
  </si>
  <si>
    <t>ヘッダ送り時縦シール有り無し</t>
  </si>
  <si>
    <t>PERFORATION_ORDER_ONOFF</t>
  </si>
  <si>
    <t>４種４連有り無し</t>
  </si>
  <si>
    <t>FILM_END_SENSOR_ONOFF</t>
  </si>
  <si>
    <t>終端センサー有り無し</t>
  </si>
  <si>
    <t>FILM_END_STOP_COUNT</t>
  </si>
  <si>
    <t>終端センサー停止数</t>
  </si>
  <si>
    <t>TABLE_LED_ONOFF</t>
  </si>
  <si>
    <t>スプライステーブルLEDオンオフ</t>
  </si>
  <si>
    <t>CCW_TIMEOUT_ONOFF</t>
  </si>
  <si>
    <t>計量機未完了タイムアウトオンオフ</t>
  </si>
  <si>
    <t>CCW_TIMEOUT_TIMER</t>
  </si>
  <si>
    <t>計量機未完了時間</t>
  </si>
  <si>
    <t>BANNER_ONOFF</t>
  </si>
  <si>
    <t>バナー有り無し</t>
  </si>
  <si>
    <t>OPERATION_MODE</t>
  </si>
  <si>
    <t>動作モード</t>
  </si>
  <si>
    <t>0xFFFF</t>
  </si>
  <si>
    <t>AUTO_BAG_AIR_FILL_ONOFF</t>
  </si>
  <si>
    <t>自動袋厚み調整オンオフ</t>
  </si>
  <si>
    <t>AUTO_AIR_FILL_INTERVAL</t>
  </si>
  <si>
    <t>袋厚みフィードバック間隔</t>
  </si>
  <si>
    <t>AUTO_AIR_FILL_ACCEPT</t>
  </si>
  <si>
    <t>袋厚みフィードバック受付時間</t>
  </si>
  <si>
    <t>MIDDLE_SHUTTER</t>
  </si>
  <si>
    <t>シャッタオンオフ</t>
  </si>
  <si>
    <t>SHUTTER_CLOSE_DUTY</t>
  </si>
  <si>
    <t>シャッタ閉時間率</t>
  </si>
  <si>
    <t>POKER_ONOFF</t>
  </si>
  <si>
    <t>予約ポーカONOFF</t>
  </si>
  <si>
    <t>POKER_DELAY_DUTY</t>
  </si>
  <si>
    <t>ポーカーディレー時間</t>
  </si>
  <si>
    <t>シャッター閉点からの商品落下タイミング</t>
    <phoneticPr fontId="1"/>
  </si>
  <si>
    <t>DUMP_TIMING_INTERVAL</t>
  </si>
  <si>
    <t>商品落下間隔</t>
  </si>
  <si>
    <t>CHUTE_JET_ONOFF</t>
  </si>
  <si>
    <t>予約設定のシュート用エアジェットオンオフ</t>
  </si>
  <si>
    <t>CHUTE_JET_DELAY</t>
  </si>
  <si>
    <t>シュート用エアジェットのディレイ時間率</t>
  </si>
  <si>
    <t>CHUTE_JET_ON_TIME</t>
  </si>
  <si>
    <t>シュート用エアジェットのオン時間率</t>
  </si>
  <si>
    <t>LABELER_ONOFF</t>
  </si>
  <si>
    <t>ラベラーON/OFF</t>
  </si>
  <si>
    <t>LABELER_TRIGGER_POSITION</t>
  </si>
  <si>
    <t>レジマーク検知できてからラベル貼り開始までの距離</t>
  </si>
  <si>
    <t>BLANK_DATA_15313_USED</t>
  </si>
  <si>
    <t>BLANK_DATA_15314_USED</t>
  </si>
  <si>
    <t>BANNER_2_ONOFF</t>
  </si>
  <si>
    <t>バナー2有り無し</t>
  </si>
  <si>
    <t>SHAKER_ONOFF</t>
  </si>
  <si>
    <t>シェーカーオンオフ</t>
  </si>
  <si>
    <t>SHAKER_ON_TIME</t>
  </si>
  <si>
    <t>シェーカーオン時間</t>
  </si>
  <si>
    <t>SHAKER_ON_DUTY</t>
  </si>
  <si>
    <t>シェーカーオンDuty</t>
  </si>
  <si>
    <t>BACK_SEAL_ON_ADVANCE_TIME</t>
  </si>
  <si>
    <t>縦シール先行オン時間</t>
  </si>
  <si>
    <t>BACK_SEAL_OFF_DELAY_TIME</t>
  </si>
  <si>
    <t>縦シール遅延オフ時間</t>
  </si>
  <si>
    <t>SQUARE_GUSSET_ONOFF</t>
  </si>
  <si>
    <t>角底ガセットオンオフ</t>
  </si>
  <si>
    <t>GUSSET_SIDE_DELAY_DUTY</t>
  </si>
  <si>
    <t>ガセット横折り遅れ時間率</t>
  </si>
  <si>
    <t>GUSSET_SIDE_ON_DUTY</t>
  </si>
  <si>
    <t>ガセット横折り動作時間率</t>
  </si>
  <si>
    <t>GUSSET_BOTTOM_DELAY_DUTY</t>
  </si>
  <si>
    <t>ガセット底折り遅れ時間率</t>
  </si>
  <si>
    <t>GUSSET_BOTTOM_ON_DUTY</t>
  </si>
  <si>
    <t>ガセット底折り動作時間率</t>
  </si>
  <si>
    <t>SHAKER_DELAY</t>
  </si>
  <si>
    <t>シェーカー遅延時間</t>
  </si>
  <si>
    <t>BUCKET_SPEED</t>
  </si>
  <si>
    <t>バケット能力</t>
  </si>
  <si>
    <t>PRODUCT_CATCH_ONOFF</t>
  </si>
  <si>
    <t>製品受けオンオフ</t>
  </si>
  <si>
    <t>PRODUCT_CATCH_DELAY_DUTY</t>
  </si>
  <si>
    <t>製品受けディレイDuty</t>
  </si>
  <si>
    <t>PRODUCT_CATCH_ON_DUTY</t>
  </si>
  <si>
    <t>製品受けオンDuty</t>
  </si>
  <si>
    <t>PRODUCT_CATCH_POSITION</t>
  </si>
  <si>
    <t>製品受け位置</t>
  </si>
  <si>
    <t>HOPERSHAKE_ONOFF</t>
  </si>
  <si>
    <t>予約のホッパー振りのオンオフ</t>
  </si>
  <si>
    <t>DEFLETOR_ONOFF</t>
  </si>
  <si>
    <t>予約の強制脱気オンオフ</t>
  </si>
  <si>
    <t>DEFLATOR_DELAY</t>
  </si>
  <si>
    <t>強制脱気の閉まるまでのディレイデューティー</t>
  </si>
  <si>
    <t>DEFLATOR_CLOSE_DUTY</t>
  </si>
  <si>
    <t>強制脱気の閉時間デューティー</t>
  </si>
  <si>
    <t>DEFLATOR_ON_DUTY</t>
  </si>
  <si>
    <t>強制脱気のオン時間デューティー</t>
  </si>
  <si>
    <t>DEFLATOR_OPEN_DUTY</t>
  </si>
  <si>
    <t>強制脱気の開時間デューティー</t>
  </si>
  <si>
    <t>DEFLATOR_PRESS</t>
  </si>
  <si>
    <t>強制脱気の押し圧</t>
  </si>
  <si>
    <t>DEFLATOR_ON_DELAY</t>
  </si>
  <si>
    <t>強制脱気のオンディレイ時間（タイミングチャートで使用）</t>
  </si>
  <si>
    <t>SHUTTER_ON_DUTY_1</t>
  </si>
  <si>
    <t>シャッターの1回目のオンデューティー</t>
  </si>
  <si>
    <t>BLANK_DATA_PRESET_USED</t>
  </si>
  <si>
    <t>SPLICE_BANK</t>
  </si>
  <si>
    <t>継ぎ目別検知のバンク切り替え</t>
  </si>
  <si>
    <t>INSERTER_SIG_ONOFF</t>
  </si>
  <si>
    <t>予約の投入機オンオフ</t>
  </si>
  <si>
    <t>DEFLATOR_CLOSE_POS</t>
  </si>
  <si>
    <t>強制脱気閉距離</t>
  </si>
  <si>
    <t>EX_SPLICE_SHIFT_COUNT</t>
  </si>
  <si>
    <t>別検知併用時の別検知シフト個数</t>
  </si>
  <si>
    <t>SHUTTER_OPEN_OFFSET</t>
  </si>
  <si>
    <t>シャッターの開閉オフセット量（30mmの設定で標準位置）</t>
  </si>
  <si>
    <t>DEFLATOR_OPEN_OFFSET</t>
  </si>
  <si>
    <t>強制脱気の開閉オフセット量（15mmの設定で標準位置）</t>
  </si>
  <si>
    <t>SHUTTER_ON_DUTY_2</t>
  </si>
  <si>
    <t>シャッター2回目のオンデューティー</t>
  </si>
  <si>
    <t>SHUTTER_ON_DUTY_3</t>
  </si>
  <si>
    <t>シャッター3回目のオンデューティー</t>
  </si>
  <si>
    <t>SHUTTER_ON_DUTY_4</t>
  </si>
  <si>
    <t>シャッター4回目のオンデューティー</t>
  </si>
  <si>
    <t>SHUTTER_ON_DUTY_5</t>
  </si>
  <si>
    <t>シャッター5回目のオンデューティー</t>
  </si>
  <si>
    <t>SHUTTER_DLY_DUTY_1</t>
  </si>
  <si>
    <t>シャッター1回目のディレイデューティー</t>
  </si>
  <si>
    <t>SHUTTER_DLY_DUTY_2</t>
  </si>
  <si>
    <t>シャッター2回目のディレイデューティー</t>
  </si>
  <si>
    <t>SHUTTER_DLY_DUTY_3</t>
  </si>
  <si>
    <t>シャッター3回目のディレイデューティー</t>
  </si>
  <si>
    <t>SHUTTER_DLY_DUTY_4</t>
  </si>
  <si>
    <t>シャッター4回目のディレイデューティー</t>
  </si>
  <si>
    <t>SHUTTER_DLY_DUTY_5</t>
  </si>
  <si>
    <t>シャッター5回目のディレイデューティー</t>
  </si>
  <si>
    <t>EVERY_CATCH_THROUGH_TIME</t>
  </si>
  <si>
    <t>毎回キャッチの商品通過時間（ロータリー）</t>
  </si>
  <si>
    <t>EVERY_CATCH_SHUTTER_POSITION</t>
  </si>
  <si>
    <t>毎回キャッチのシャッター閉位置（ロータリー）</t>
  </si>
  <si>
    <t>EVERY_CATCH_MODE</t>
  </si>
  <si>
    <t>毎回キャッチのモード切換（ロータリー）</t>
  </si>
  <si>
    <t>SHUTTER_SYSTEM_PRESET</t>
  </si>
  <si>
    <t>シャッター機構の予約選択（兼用時のみ有効）</t>
  </si>
  <si>
    <t>FIRST_AIRJET_ONOFF</t>
  </si>
  <si>
    <t>初回エアジェットオンオフ</t>
  </si>
  <si>
    <t>FIRST_AIRJET_ON_TIME</t>
  </si>
  <si>
    <t>初回エアジェットオン時間</t>
  </si>
  <si>
    <t>BAG_AIR_FILL_A_RATE</t>
  </si>
  <si>
    <t>袋厚みレートA</t>
  </si>
  <si>
    <t>BAG_AIR_FILL_B_RATE</t>
  </si>
  <si>
    <t>袋厚みレートB</t>
  </si>
  <si>
    <t>BAG_AIR_FILL_A_FIRST_OFFSET</t>
  </si>
  <si>
    <t>厚み初回補正量A</t>
  </si>
  <si>
    <t>BAG_AIR_FILL_B_FIRST_OFFSET</t>
  </si>
  <si>
    <t>厚み初回補正量B</t>
  </si>
  <si>
    <t>REGMARK_EDGE_POS_PRESET</t>
  </si>
  <si>
    <t>予約のエッジセンサー位置（右、左）</t>
  </si>
  <si>
    <t>PRINT2_ONOFF</t>
  </si>
  <si>
    <t>印字機2台目ON/OFF</t>
  </si>
  <si>
    <t>PRINT_GAP</t>
  </si>
  <si>
    <t>印字機間距離</t>
  </si>
  <si>
    <t>AUX_ONOFF</t>
  </si>
  <si>
    <t>AUX出力ON/OFF</t>
  </si>
  <si>
    <t>AUX_DELAY_DUTY</t>
  </si>
  <si>
    <t>AUX出力遅れ時間率</t>
  </si>
  <si>
    <t>BLANK_DATA_15372_USED</t>
  </si>
  <si>
    <t>BLANK_DATA_15373_USED</t>
  </si>
  <si>
    <t>SYNC_TIMING</t>
  </si>
  <si>
    <t>同期運転　マスター/ｽﾚｰﾌﾞ同期タイミングのズレ</t>
  </si>
  <si>
    <t>SYNC_ONOFF</t>
  </si>
  <si>
    <t>同期運転ONOFF</t>
  </si>
  <si>
    <t>CATCH_UPDOWN_ONOFF</t>
  </si>
  <si>
    <t xml:space="preserve">毎回キャッチ動作がオンになっている際に、M2をキャッチ位置に予め上下させる機能のオンオフ_x000D_
</t>
  </si>
  <si>
    <t>GUSSET_BOTTOM_DELAY_OFFSET</t>
  </si>
  <si>
    <t>横シール完了時間率と底折り待機時間率の間隔を保存する為のアドレスです。_x000D_
初回計算時はPCU側にて補正処理を行っています。</t>
  </si>
  <si>
    <t>PERFORATION_KNIFE_ONOFF</t>
  </si>
  <si>
    <t>ミシン目ナイフONOFF</t>
  </si>
  <si>
    <t>STRIP_RATING</t>
  </si>
  <si>
    <t>しごき速度比率</t>
  </si>
  <si>
    <t>PRESET_STRIP_USE</t>
  </si>
  <si>
    <t>しごきのオンオフ（予約）</t>
  </si>
  <si>
    <t>STRIP_BOTTOM_LENGTH</t>
  </si>
  <si>
    <t>しごき下死点</t>
  </si>
  <si>
    <t>M5_FILMFEED_OFFSET</t>
  </si>
  <si>
    <t>縦シール速度オフセット</t>
  </si>
  <si>
    <t>REMODEL_HUNDLE_POS</t>
  </si>
  <si>
    <t>リモデル機用　ハンドル式エアチャックの目盛位置</t>
  </si>
  <si>
    <t>CAMERA2_ONOFF</t>
  </si>
  <si>
    <t>印字確認２台目ON/OFF</t>
  </si>
  <si>
    <t>BAG_PITCH_SENSOR_POS_Y</t>
  </si>
  <si>
    <t>袋ピッチセンサーの高さのメモ用アドレス。</t>
  </si>
  <si>
    <t>BAG_PITCH_SENSOR_ONOFF</t>
  </si>
  <si>
    <t>袋間隔センサーの使用有無</t>
  </si>
  <si>
    <t>BACK_SEAL_PRE_ON_TIME</t>
  </si>
  <si>
    <t>縦シールの仮シールオン時間</t>
  </si>
  <si>
    <t>SEAL_LENGTH</t>
  </si>
  <si>
    <t>シール長さ</t>
  </si>
  <si>
    <t>STRIP_TOP_LENGTH</t>
  </si>
  <si>
    <t>しごき上死点</t>
  </si>
  <si>
    <t>M2_START_ACC_DUTY</t>
  </si>
  <si>
    <t>M2 開始加速Duty</t>
  </si>
  <si>
    <t>CTC_ONOFF</t>
  </si>
  <si>
    <t>予約設定CTC_ONOFF</t>
  </si>
  <si>
    <t>CTC_CAL_TIME</t>
  </si>
  <si>
    <t>シャッター到達時間</t>
  </si>
  <si>
    <t>CTC_SHUTTER_DELAY_TIME</t>
  </si>
  <si>
    <t>シャッター到達遅延時間</t>
  </si>
  <si>
    <t>CTC_CAL_TIME_ADJUSTING</t>
    <phoneticPr fontId="1"/>
  </si>
  <si>
    <t>シャッター到達時間の運転中微調整</t>
  </si>
  <si>
    <t>CTC_PISTON_STANDBY_POS</t>
  </si>
  <si>
    <t>ピストン待機位置の調整</t>
  </si>
  <si>
    <t>CTC_UPPER_FLOW_DELAY_DUTY</t>
  </si>
  <si>
    <t>CTC上部流体遅延Duty</t>
  </si>
  <si>
    <t>CTC_UPPER_FLOW_ON_DUTY</t>
  </si>
  <si>
    <t>CTC上部流体オンDuty</t>
  </si>
  <si>
    <t>CTC_UPPER_SPD_CTLR_OPENING_VALUE</t>
  </si>
  <si>
    <t>CTC上部スピコン開度</t>
  </si>
  <si>
    <t>CTC_UPPER_FLOW_VALUE</t>
  </si>
  <si>
    <t>CTC上部流量</t>
  </si>
  <si>
    <t>STRIP_STANDBY_POS_OFFSET</t>
  </si>
  <si>
    <t>しごき待機位置オフセット</t>
  </si>
  <si>
    <t>PRIORITIZE_STRIP_LENGTH_ONOFF</t>
  </si>
  <si>
    <t>しごき長さ優先モードONOFF</t>
  </si>
  <si>
    <t>FILM_FEED_INTERMIT_ONOFF</t>
  </si>
  <si>
    <t>フィルム送り間欠ONOFF</t>
  </si>
  <si>
    <t>ACTUAL_STRIP_LENGTH</t>
  </si>
  <si>
    <t>実しごき長</t>
  </si>
  <si>
    <t>CTC_TUBE_TOUCH_TIMING_DUTY</t>
  </si>
  <si>
    <t>CTCチューブタッチタイミングDuty</t>
  </si>
  <si>
    <t>JAWJAM_HEADER_SPECIAL_ONOFF</t>
  </si>
  <si>
    <t>ヘッダー連包時に各シール位置毎に噛み込み判定を行う機能のオンオフ</t>
  </si>
  <si>
    <t>CTC_SHUTTER_TOTAL_TIME</t>
  </si>
  <si>
    <t>CTCシャッター動作合計時間</t>
  </si>
  <si>
    <t>CTC_EXTEND_ON_TIME</t>
  </si>
  <si>
    <t>CTC開保持時間微調整</t>
  </si>
  <si>
    <t>PAT_BAG_MOTION_MODE</t>
  </si>
  <si>
    <t>はさみ式袋叩きの動作モード 0：連続、1：間欠</t>
  </si>
  <si>
    <t>PAT_BAG_ROTATE_CNT</t>
  </si>
  <si>
    <t>はさみ式袋叩き装置 回転数</t>
  </si>
  <si>
    <t>PAT_BAG_DELAY_TIME</t>
  </si>
  <si>
    <t>はさみ式袋叩き装置 動作遅延時間（起点はサイクル開始地点）</t>
  </si>
  <si>
    <t>PRECEDING_PAT_BAG_ONOFF</t>
  </si>
  <si>
    <t>はさみ式袋叩き装置 先行動作有無</t>
  </si>
  <si>
    <t>ASP_FILM_LOW_DIAMETER</t>
  </si>
  <si>
    <t>オートスプライサーフィルムロー残量警告径</t>
  </si>
  <si>
    <t>AUTO_AIR_FILL_RATE</t>
  </si>
  <si>
    <t>袋厚み自動調整レート[%]</t>
  </si>
  <si>
    <t>BOTTOM_BRIDGE_SNS_TIME</t>
  </si>
  <si>
    <t>詰まり検知時間（コンベヤ部）</t>
  </si>
  <si>
    <t>CHECK_PRODUCT_DROP_ERR_TIME</t>
  </si>
  <si>
    <t>排出完了信号が入力されてから設定時間内に商品落下検知出来なかった場合にエラーを出力</t>
  </si>
  <si>
    <t>HOLE_PUNCH_ONLY_CUT_TIMING</t>
  </si>
  <si>
    <t>ミシン目連包時 最終袋にのみホールパンチ</t>
  </si>
  <si>
    <t>SUJIME_POSITION</t>
  </si>
  <si>
    <t>筋目装置 手動ダイヤルの目盛</t>
  </si>
  <si>
    <t>SUJIME_ONOFF</t>
  </si>
  <si>
    <t>筋目ON/OFF</t>
  </si>
  <si>
    <t>0x000A1010</t>
  </si>
  <si>
    <t>SUIJME_ON_DUTY</t>
  </si>
  <si>
    <t>筋目 オン時間率</t>
  </si>
  <si>
    <t>SUIJME_DELAY_DUTY</t>
  </si>
  <si>
    <t>筋目 待機時間率</t>
  </si>
  <si>
    <t>SET_SUJIME_L</t>
  </si>
  <si>
    <t>設定温度 筋目L</t>
  </si>
  <si>
    <t>0x00081012</t>
  </si>
  <si>
    <t>SET_SUJIME_R</t>
  </si>
  <si>
    <t>設定温度 筋目R</t>
  </si>
  <si>
    <t>FILM_FEED_CONST_ONOFF</t>
  </si>
  <si>
    <t>フィルム送り等速ONOFF(BOX機)</t>
  </si>
  <si>
    <t>INSERTER_DLY_TIME</t>
  </si>
  <si>
    <t>投入機 排出完了信号が入力されてから信号出力するまでのディレイ時間</t>
  </si>
  <si>
    <t>INSERTER_STOP_MODE</t>
  </si>
  <si>
    <t>不良排出方法</t>
  </si>
  <si>
    <t>ASP_AUTO_REGMARK_POSITION_OFFSET</t>
  </si>
  <si>
    <t>ASPレジマーク位置と本体レジマーク位置のオフセット</t>
  </si>
  <si>
    <t>EVERY_POKER_ONOFF</t>
  </si>
  <si>
    <t>ポーカー 毎回動作機能_x000D_
初回およびミスサイクルでもポーカーが動作するようになる</t>
  </si>
  <si>
    <t>JAW_JAM_PLS_2</t>
  </si>
  <si>
    <t>噛み込みパルス２</t>
  </si>
  <si>
    <t>JAWJAM_REJECT_MODE_2</t>
  </si>
  <si>
    <t>噛み込み排出モード２</t>
  </si>
  <si>
    <t>JAW_JAM_2_ONOFF</t>
  </si>
  <si>
    <t>噛み込み２ON/OFF</t>
  </si>
  <si>
    <t>FEED_CNT_ALL_REJECT_MODE</t>
  </si>
  <si>
    <t>計量物 廃棄モード中のフィルム送り回数</t>
  </si>
  <si>
    <t>DUMP_CNT_ALL_REJECT_MODE</t>
  </si>
  <si>
    <t>計量物 廃棄モードでの商品排出回数</t>
  </si>
  <si>
    <t>GUSSET_SIDE_LENGTH</t>
  </si>
  <si>
    <t>角底ガセット側面幅</t>
  </si>
  <si>
    <t>BAG_REVERSE_DELAY_TIME</t>
  </si>
  <si>
    <t>回転式袋反転装置 動作待機時間</t>
  </si>
  <si>
    <t>BAG_REVERSE_SPEED</t>
  </si>
  <si>
    <t>袋反転装置 回転速度</t>
  </si>
  <si>
    <t>BAG_REVERSE_AIRJET_ON_TIME</t>
  </si>
  <si>
    <t>予約設定 袋反転装置 エアバルブ オン時間</t>
  </si>
  <si>
    <t>BAG_REVERSE_AIRJET_DELAY_TIME</t>
  </si>
  <si>
    <t>予約設定 袋反転装置 エアバルブ 遅延時間</t>
  </si>
  <si>
    <t>CTC_SHUTTER_DELAY</t>
  </si>
  <si>
    <t>CTCシャッターディレイ</t>
  </si>
  <si>
    <t>CTC_SHUTTER_ON</t>
  </si>
  <si>
    <t>CTCシャッターオン</t>
  </si>
  <si>
    <t>CTC_UPPER_FLOW_DELAY_SUB_DUTY</t>
  </si>
  <si>
    <t>CTC上部流体遅延補助Duty</t>
  </si>
  <si>
    <t>CATCH_GAP</t>
  </si>
  <si>
    <t>キャッチ幅</t>
  </si>
  <si>
    <t>ASP_FILM_END_SPLICE_FIRST</t>
  </si>
  <si>
    <t>ASPフィルムエンド時、ダンサーバッファを見て自動継ぎ優先モード</t>
  </si>
  <si>
    <t>CTC_CAL_TIME_MONITOR</t>
  </si>
  <si>
    <t>CAL_TIMEとラインセンサーの計測時間差分</t>
  </si>
  <si>
    <t>BAG_REVERSE_BAD_BAG_AIRJET_ON_TIME</t>
  </si>
  <si>
    <t>予約設定 袋反転装置 不良排出時 エアバルブ オン時間</t>
  </si>
  <si>
    <t>BAG_REVERSE_2_OPERATION_1_CYCLE</t>
  </si>
  <si>
    <t>予約設定 袋反転装置 １サイクル２回動作する</t>
  </si>
  <si>
    <t>BACKSEAL_ONCE_THROUGH_ENABLE</t>
  </si>
  <si>
    <t>縦シール動作 初回スルーを有効にする</t>
  </si>
  <si>
    <t>VIBRATION_PRODUCT_CATCH_ONOFF</t>
  </si>
  <si>
    <t>袋底たたき 予約設定 ONOFF</t>
  </si>
  <si>
    <t>VIBRATION_PRODUCT_CATCH_ON_DUTY</t>
  </si>
  <si>
    <t>袋底たたき オン時間率</t>
  </si>
  <si>
    <t>END_SEAL_STANDBY_WIDTH</t>
  </si>
  <si>
    <t>横シール待機幅</t>
  </si>
  <si>
    <t>CTC_CHARGE_TIMING</t>
  </si>
  <si>
    <t>CTCチャージタイミング</t>
  </si>
  <si>
    <t>FORMER_TIP_KNOCKER_ONOFF</t>
  </si>
  <si>
    <t>フォーマー先端ノッカー ON/OFF</t>
  </si>
  <si>
    <t>FORMER_TIP_KNOCKER_CNT</t>
  </si>
  <si>
    <t>フォーマー先端ノッカー 使用回数</t>
  </si>
  <si>
    <t>FORMER_TIP_KNOCKER_DELAY_DUTY</t>
  </si>
  <si>
    <t>フォーマー先端ノッカー ディレイDuty</t>
  </si>
  <si>
    <t>FORMER_TIP_KNOCKER_ON_DUTY</t>
  </si>
  <si>
    <t>フォーマー先端ノッカー オンDuty</t>
  </si>
  <si>
    <t>FORMER_TIP_KNOCKER_DELAY_DUTY_2</t>
  </si>
  <si>
    <t>フォーマー先端ノッカー ディレイDuty2</t>
  </si>
  <si>
    <t>FORMER_TIP_KNOCKER_ON_DUTY_2</t>
  </si>
  <si>
    <t>フォーマー先端ノッカー オンDuty2</t>
  </si>
  <si>
    <t>FORMER_TIP_KNOCKER_DELAY_DUTY_3</t>
  </si>
  <si>
    <t>フォーマー先端ノッカー ディレイDuty3</t>
  </si>
  <si>
    <t>FORMER_TIP_KNOCKER_ON_DUTY_3</t>
  </si>
  <si>
    <t>フォーマー先端ノッカー オンDuty3</t>
  </si>
  <si>
    <t>FORMER_TIP_KNOCKER_DELAY_DUTY_4</t>
  </si>
  <si>
    <t>フォーマー先端ノッカー ディレイDuty4</t>
  </si>
  <si>
    <t>FORMER_TIP_KNOCKER_ON_DUTY_4</t>
  </si>
  <si>
    <t>フォーマー先端ノッカー オンDuty4</t>
  </si>
  <si>
    <t>FORMER_TIP_KNOCKER_DELAY_DUTY_5</t>
  </si>
  <si>
    <t>フォーマー先端ノッカー ディレイDuty5</t>
  </si>
  <si>
    <t>FORMER_TIP_KNOCKER_ON_DUTY_5</t>
  </si>
  <si>
    <t>フォーマー先端ノッカー オンDuty5</t>
  </si>
  <si>
    <t>BLANK_DATA_PRESET_15463_USED</t>
  </si>
  <si>
    <t>CTC_UPPER_FLOW_CNT</t>
  </si>
  <si>
    <t>CTC上部流体 使用回数</t>
  </si>
  <si>
    <t>CTC_UPPER_FLOW_DELAY_DUTY_2</t>
  </si>
  <si>
    <t>CTC上部流体遅延Duty2</t>
  </si>
  <si>
    <t>CTC_UPPER_FLOW_ON_DUTY_2</t>
  </si>
  <si>
    <t>CTC上部流体オンDuty2</t>
  </si>
  <si>
    <t>CTC_UPPER_FLOW_DELAY_DUTY_3</t>
  </si>
  <si>
    <t>CTC上部流体遅延Duty3</t>
  </si>
  <si>
    <t>CTC_UPPER_FLOW_ON_DUTY_3</t>
  </si>
  <si>
    <t>CTC上部流体オンDuty3</t>
  </si>
  <si>
    <t>CTC_UPPER_FLOW_DELAY_DUTY_4</t>
  </si>
  <si>
    <t>CTC上部流体遅延Duty4</t>
  </si>
  <si>
    <t>CTC_UPPER_FLOW_ON_DUTY_4</t>
  </si>
  <si>
    <t>CTC上部流体オンDuty4</t>
  </si>
  <si>
    <t>CTC_UPPER_FLOW_DELAY_DUTY_5</t>
  </si>
  <si>
    <t>CTC上部流体遅延Duty5</t>
  </si>
  <si>
    <t>CTC_UPPER_FLOW_ON_DUTY_5</t>
  </si>
  <si>
    <t>CTC上部流体オンDuty5</t>
  </si>
  <si>
    <t>VERTICAL_SEAL_DETECTION_WAIT_TIME</t>
  </si>
  <si>
    <t>縦シールずれ検知 撮影までの待ち時間</t>
  </si>
  <si>
    <t>CTC_HOLD_TIME</t>
  </si>
  <si>
    <t>CTC保持時間</t>
  </si>
  <si>
    <t>CTC_PISTON_ORIGIN_POS</t>
  </si>
  <si>
    <t>CTCピストン当て原点位置</t>
  </si>
  <si>
    <t>VERTICAL_SEAL_DETECTION_LED1</t>
  </si>
  <si>
    <t>縦シールずれ検知上LED明るさ</t>
  </si>
  <si>
    <t>VERTICAL_SEAL_DETECTION_LED2</t>
  </si>
  <si>
    <t>縦シールずれ検知下LED明るさ</t>
  </si>
  <si>
    <t>VERTICAL_SEAL_DETECTION_REJECT_MODE</t>
  </si>
  <si>
    <t>縦シールずれ検知　不良排出モード</t>
  </si>
  <si>
    <t>VERTICAL_SEAL_DETECTION_SHIFT_COUNT</t>
  </si>
  <si>
    <t>縦シールずれ検知　シフト数</t>
  </si>
  <si>
    <t>EVEN_NUM_PERFORATION_KNIFE_ONOFF</t>
  </si>
  <si>
    <t>ユーザー特殊機能　ミシン目ナイフを交互にオンオフする機能　ONOFF</t>
  </si>
  <si>
    <t>VERTICAL_SEAL_DETECTION_ANGLE</t>
  </si>
  <si>
    <t>縦シールずれ検知　画像の回転補正</t>
  </si>
  <si>
    <t>BARCODE_5</t>
  </si>
  <si>
    <t>バーコード5</t>
  </si>
  <si>
    <t>METAL_BYPASS_MODE</t>
  </si>
  <si>
    <t>フォートレス金検バイパスモードON/OFF</t>
  </si>
  <si>
    <t>VIBRATION_PRODUCT_CATCH_MOVE_CNT</t>
  </si>
  <si>
    <t>袋底たたき装置 シリンダー式の1サイクルあたりの動作回数</t>
  </si>
  <si>
    <t>STICK_FOLD_ONOFF</t>
  </si>
  <si>
    <t>予約設定　スティック折り装置　使用：有無</t>
  </si>
  <si>
    <t>STICK_FOLD_DELAY_DUTY</t>
  </si>
  <si>
    <t>予約設定　スティック折り装置　遅延時間率</t>
  </si>
  <si>
    <t>STICK_FOLD_ON_DUTY</t>
  </si>
  <si>
    <t>予約設定　スティック折り装置　オン時間率</t>
  </si>
  <si>
    <t>FILM_HOLE_DETECTION_ONOFF</t>
  </si>
  <si>
    <t>フィルム傷検知ON/OFF</t>
  </si>
  <si>
    <t>FILM_HOLE_DETECTION_REJECT_MODE</t>
  </si>
  <si>
    <t>フィルム傷検知不良排出モード</t>
  </si>
  <si>
    <t>FILM_HOLE_DETECTION_SHIFT_COUNT</t>
  </si>
  <si>
    <t>フィルム傷検知シフト数</t>
  </si>
  <si>
    <t>CTC_UPPER_FLOW_ONOFF</t>
  </si>
  <si>
    <t>CTCのアッパーを使用する／しないの判断</t>
  </si>
  <si>
    <t>FILM_HOLE_CHECKER_PRESET_SETTING</t>
  </si>
  <si>
    <t>フィルム傷検知設定予約番号</t>
  </si>
  <si>
    <t>BARCODE_SCAN_POSITION</t>
  </si>
  <si>
    <t>照合システム　固定式バーコードトリガ位置調整</t>
  </si>
  <si>
    <t>BARCODE_SCAN_TIME</t>
  </si>
  <si>
    <t>照合システム　固定式バーコード検査時間</t>
  </si>
  <si>
    <t>BARCODE_SHIFT_COUNT</t>
  </si>
  <si>
    <t>照合システム　固定式バーコードシフト数</t>
  </si>
  <si>
    <t>LOW_ASP_DATE_CODER_OFFSET</t>
  </si>
  <si>
    <t>ローコストASP_x000D_
印字位置のオフセット値</t>
  </si>
  <si>
    <t>LOW_ASP_HEATER_ON_TIME</t>
  </si>
  <si>
    <t>ローコストASP_x000D_
インパルスヒータのオン時間</t>
  </si>
  <si>
    <t>FILM_THICKNESS</t>
  </si>
  <si>
    <t>フィルム厚み</t>
  </si>
  <si>
    <t>BLANK_DATA_PRESET_15499</t>
  </si>
  <si>
    <t>BLANK_DATA_PRESET_15500</t>
  </si>
  <si>
    <t>BLANK_DATA_PRESET_15501</t>
  </si>
  <si>
    <t>BLANK_DATA_PRESET_15502</t>
  </si>
  <si>
    <t>BLANK_DATA_PRESET_15503</t>
  </si>
  <si>
    <t>BLANK_DATA_PRESET_15504</t>
  </si>
  <si>
    <t>BLANK_DATA_PRESET_15505</t>
  </si>
  <si>
    <t>BLANK_DATA_PRESET_15506</t>
  </si>
  <si>
    <t>BLANK_DATA_PRESET_15507</t>
  </si>
  <si>
    <t>BLANK_DATA_PRESET_15508</t>
  </si>
  <si>
    <t>BLANK_DATA_PRESET_15509</t>
  </si>
  <si>
    <t>BLANK_DATA_PRESET_15510</t>
  </si>
  <si>
    <t>BLANK_DATA_PRESET_15511</t>
  </si>
  <si>
    <t>BLANK_DATA_PRESET_15512</t>
  </si>
  <si>
    <t>BLANK_DATA_PRESET_15513</t>
  </si>
  <si>
    <t>BLANK_DATA_PRESET_15514</t>
  </si>
  <si>
    <t>BLANK_DATA_PRESET_15515</t>
  </si>
  <si>
    <t>BLANK_DATA_PRESET_15516</t>
  </si>
  <si>
    <t>BLANK_DATA_PRESET_15517</t>
  </si>
  <si>
    <t>BLANK_DATA_PRESET_15518</t>
  </si>
  <si>
    <t>BLANK_DATA_PRESET_15519</t>
  </si>
  <si>
    <t>BLANK_DATA_PRESET_15520</t>
  </si>
  <si>
    <t>BLANK_DATA_PRESET_15521</t>
  </si>
  <si>
    <t>BLANK_DATA_PRESET_15522</t>
  </si>
  <si>
    <t>BLANK_DATA_PRESET_15523</t>
  </si>
  <si>
    <t>BLANK_DATA_PRESET_15524</t>
  </si>
  <si>
    <t>BLANK_DATA_PRESET_15525</t>
  </si>
  <si>
    <t>BLANK_DATA_PRESET_15526</t>
  </si>
  <si>
    <t>BLANK_DATA_PRESET_15527</t>
  </si>
  <si>
    <t>BLANK_DATA_PRESET_15528</t>
  </si>
  <si>
    <t>BLANK_DATA_PRESET_15529</t>
  </si>
  <si>
    <t>BLANK_DATA_PRESET_15530</t>
  </si>
  <si>
    <t>BLANK_DATA_PRESET_15531</t>
  </si>
  <si>
    <t>BLANK_DATA_PRESET_15532</t>
  </si>
  <si>
    <t>BLANK_DATA_PRESET_15533</t>
  </si>
  <si>
    <t>BLANK_DATA_PRESET_15534</t>
  </si>
  <si>
    <t>BLANK_DATA_PRESET_15535</t>
  </si>
  <si>
    <t>BLANK_DATA_PRESET_15536</t>
  </si>
  <si>
    <t>BLANK_DATA_PRESET_15537</t>
  </si>
  <si>
    <t>BLANK_DATA_PRESET_15538</t>
  </si>
  <si>
    <t>BLANK_DATA_PRESET_15539</t>
  </si>
  <si>
    <t>BLANK_DATA_PRESET_15540</t>
  </si>
  <si>
    <t>BLANK_DATA_PRESET_15541</t>
  </si>
  <si>
    <t>BLANK_DATA_PRESET_15542</t>
  </si>
  <si>
    <t>BLANK_DATA_PRESET_15543</t>
  </si>
  <si>
    <t>BLANK_DATA_PRESET_15544</t>
  </si>
  <si>
    <t>BLANK_DATA_PRESET_15545</t>
  </si>
  <si>
    <t>BLANK_DATA_PRESET_15546</t>
  </si>
  <si>
    <t>BLANK_DATA_PRESET_15547</t>
  </si>
  <si>
    <t>BLANK_DATA_PRESET_15548</t>
  </si>
  <si>
    <t>BLANK_DATA_PRESET_15549</t>
  </si>
  <si>
    <t>BLANK_DATA_PRESET_15550</t>
  </si>
  <si>
    <t>BLANK_DATA_PRESET_15551</t>
  </si>
  <si>
    <t>BLANK_DATA_PRESET_15552</t>
  </si>
  <si>
    <t>BLANK_DATA_PRESET_15553</t>
  </si>
  <si>
    <t>BLANK_DATA_PRESET_15554</t>
  </si>
  <si>
    <t>BLANK_DATA_PRESET_15555</t>
  </si>
  <si>
    <t>BLANK_DATA_PRESET_15556</t>
  </si>
  <si>
    <t>BLANK_DATA_PRESET_15557</t>
  </si>
  <si>
    <t>BLANK_DATA_PRESET_15558</t>
  </si>
  <si>
    <t>BLANK_DATA_PRESET_15559</t>
  </si>
  <si>
    <t>BLANK_DATA_PRESET_15560</t>
  </si>
  <si>
    <t>BLANK_DATA_PRESET_15561</t>
  </si>
  <si>
    <t>BLANK_DATA_PRESET_15562</t>
  </si>
  <si>
    <t>BLANK_DATA_PRESET_15563</t>
  </si>
  <si>
    <t>BLANK_DATA_PRESET_15564</t>
  </si>
  <si>
    <t>BLANK_DATA_PRESET_15565</t>
  </si>
  <si>
    <t>BLANK_DATA_PRESET_15566</t>
  </si>
  <si>
    <t>BLANK_DATA_PRESET_15567</t>
  </si>
  <si>
    <t>BLANK_DATA_PRESET_15568</t>
  </si>
  <si>
    <t>BLANK_DATA_PRESET_15569</t>
  </si>
  <si>
    <t>BLANK_DATA_PRESET_15570</t>
  </si>
  <si>
    <t>BLANK_DATA_PRESET_15571</t>
  </si>
  <si>
    <t>BLANK_DATA_PRESET_15572</t>
  </si>
  <si>
    <t>BLANK_DATA_PRESET_15573</t>
  </si>
  <si>
    <t>BLANK_DATA_PRESET_15574</t>
  </si>
  <si>
    <t>BLANK_DATA_PRESET_15575</t>
  </si>
  <si>
    <t>BLANK_DATA_PRESET_15576</t>
  </si>
  <si>
    <t>BLANK_DATA_PRESET_15577</t>
  </si>
  <si>
    <t>BLANK_DATA_PRESET_15578</t>
  </si>
  <si>
    <t>BLANK_DATA_PRESET_15579</t>
  </si>
  <si>
    <t>BLANK_DATA_PRESET_15580</t>
  </si>
  <si>
    <t>BLANK_DATA_PRESET_15581</t>
  </si>
  <si>
    <t>BLANK_DATA_PRESET_15582</t>
  </si>
  <si>
    <t>BLANK_DATA_PRESET_15583</t>
  </si>
  <si>
    <t>BLANK_DATA_PRESET_15584</t>
  </si>
  <si>
    <t>BLANK_DATA_PRESET_15585</t>
  </si>
  <si>
    <t>BLANK_DATA_PRESET_15586</t>
  </si>
  <si>
    <t>BLANK_DATA_PRESET_15587</t>
  </si>
  <si>
    <t>BLANK_DATA_PRESET_15588</t>
  </si>
  <si>
    <t>BLANK_DATA_PRESET_15589</t>
  </si>
  <si>
    <t>BLANK_DATA_PRESET_15590</t>
  </si>
  <si>
    <t>BLANK_DATA_PRESET_15591</t>
  </si>
  <si>
    <t>BLANK_DATA_PRESET_15592</t>
  </si>
  <si>
    <t>BLANK_DATA_PRESET_15593</t>
  </si>
  <si>
    <t>BLANK_DATA_PRESET_15594</t>
  </si>
  <si>
    <t>BLANK_DATA_PRESET_15595</t>
  </si>
  <si>
    <t>BLANK_DATA_PRESET_15596</t>
  </si>
  <si>
    <t>BLANK_DATA_PRESET_15597</t>
  </si>
  <si>
    <t>BLANK_DATA_PRESET_15598</t>
  </si>
  <si>
    <t>BLANK_DATA_PRESET_15599</t>
  </si>
  <si>
    <t>BLANK_DATA_PRESET_15600</t>
  </si>
  <si>
    <t>BLANK_DATA_PRESET_15601</t>
  </si>
  <si>
    <t>BLANK_DATA_PRESET_15602</t>
  </si>
  <si>
    <t>BLANK_DATA_PRESET_15603</t>
  </si>
  <si>
    <t>BLANK_DATA_PRESET_15604</t>
  </si>
  <si>
    <t>BLANK_DATA_PRESET_15605</t>
  </si>
  <si>
    <t>BLANK_DATA_PRESET_15606</t>
  </si>
  <si>
    <t>BLANK_DATA_PRESET_15607</t>
  </si>
  <si>
    <t>BLANK_DATA_PRESET_15608</t>
  </si>
  <si>
    <t>BLANK_DATA_PRESET_15609</t>
  </si>
  <si>
    <t>BLANK_DATA_PRESET_15610</t>
  </si>
  <si>
    <t>BLANK_DATA_PRESET_15611</t>
  </si>
  <si>
    <t>BLANK_DATA_PRESET_15612</t>
  </si>
  <si>
    <t>BLANK_DATA_PRESET_15613</t>
  </si>
  <si>
    <t>BLANK_DATA_PRESET_15614</t>
  </si>
  <si>
    <t>BLANK_DATA_PRESET_15615</t>
  </si>
  <si>
    <t>BLANK_DATA_PRESET_15616</t>
  </si>
  <si>
    <t>BLANK_DATA_PRESET_15617</t>
  </si>
  <si>
    <t>BLANK_DATA_PRESET_15618</t>
  </si>
  <si>
    <t>BLANK_DATA_PRESET_15619</t>
  </si>
  <si>
    <t>BLANK_DATA_PRESET_15620</t>
  </si>
  <si>
    <t>BLANK_DATA_PRESET_15621</t>
  </si>
  <si>
    <t>BLANK_DATA_PRESET_15622</t>
  </si>
  <si>
    <t>BLANK_DATA_PRESET_15623</t>
  </si>
  <si>
    <t>BLANK_DATA_PRESET_15624</t>
  </si>
  <si>
    <t>BLANK_DATA_PRESET_15625</t>
  </si>
  <si>
    <t>BLANK_DATA_PRESET_15626</t>
  </si>
  <si>
    <t>BLANK_DATA_PRESET_15627</t>
  </si>
  <si>
    <t>BLANK_DATA_PRESET_15628</t>
  </si>
  <si>
    <t>BLANK_DATA_PRESET_15629</t>
  </si>
  <si>
    <t>BLANK_DATA_PRESET_15630</t>
  </si>
  <si>
    <t>BLANK_DATA_PRESET_15631</t>
  </si>
  <si>
    <t>BLANK_DATA_PRESET_15632</t>
  </si>
  <si>
    <t>BLANK_DATA_PRESET_15633</t>
  </si>
  <si>
    <t>BLANK_DATA_PRESET_15634</t>
  </si>
  <si>
    <t>BLANK_DATA_PRESET_15635</t>
  </si>
  <si>
    <t>BLANK_DATA_PRESET_15636</t>
  </si>
  <si>
    <t>BLANK_DATA_PRESET_15637</t>
  </si>
  <si>
    <t>BLANK_DATA_PRESET_15638</t>
  </si>
  <si>
    <t>BLANK_DATA_PRESET_15639</t>
  </si>
  <si>
    <t>ID_900</t>
    <phoneticPr fontId="1"/>
  </si>
  <si>
    <t>ストローク上限～シール高さ</t>
  </si>
  <si>
    <t>固定値（CS15)</t>
    <rPh sb="0" eb="3">
      <t>コテイチ</t>
    </rPh>
    <phoneticPr fontId="1"/>
  </si>
  <si>
    <t>ID_901</t>
    <phoneticPr fontId="1"/>
  </si>
  <si>
    <t>縦シール上端～ストローク上限</t>
  </si>
  <si>
    <t>ID_902</t>
  </si>
  <si>
    <t>ID_903</t>
  </si>
  <si>
    <t>フォーマセンタ～レジマークローラ</t>
  </si>
  <si>
    <t>ID_904</t>
  </si>
  <si>
    <t>レジマークローラ～印字機までの距離</t>
    <rPh sb="9" eb="12">
      <t>インジキ</t>
    </rPh>
    <rPh sb="15" eb="17">
      <t>キョリ</t>
    </rPh>
    <phoneticPr fontId="1"/>
  </si>
  <si>
    <t>ID_905</t>
  </si>
  <si>
    <t>レジマークローラからレジマークセンサまでの距離</t>
    <phoneticPr fontId="1"/>
  </si>
  <si>
    <t>ID_906</t>
  </si>
  <si>
    <t>フォーマローラで伸びた距離</t>
    <phoneticPr fontId="1"/>
  </si>
  <si>
    <t>ID_907</t>
  </si>
  <si>
    <t>ナイフ待ち時間</t>
    <rPh sb="3" eb="4">
      <t>マ</t>
    </rPh>
    <rPh sb="5" eb="7">
      <t>ジカン</t>
    </rPh>
    <phoneticPr fontId="1"/>
  </si>
  <si>
    <t>ID_908</t>
  </si>
  <si>
    <t>ナイフ待ち時間最小</t>
    <rPh sb="3" eb="4">
      <t>マ</t>
    </rPh>
    <rPh sb="5" eb="7">
      <t>ジカン</t>
    </rPh>
    <rPh sb="7" eb="9">
      <t>サイショウ</t>
    </rPh>
    <phoneticPr fontId="1"/>
  </si>
  <si>
    <t>ID_909</t>
  </si>
  <si>
    <t>ナイフ待ち時間最小Duty</t>
    <rPh sb="3" eb="4">
      <t>マ</t>
    </rPh>
    <rPh sb="5" eb="7">
      <t>ジカン</t>
    </rPh>
    <rPh sb="7" eb="9">
      <t>サイショウ</t>
    </rPh>
    <phoneticPr fontId="1"/>
  </si>
  <si>
    <t>ID_910</t>
  </si>
  <si>
    <t>シャッター閉から計量物落下タイミングの遅延時間</t>
    <phoneticPr fontId="1"/>
  </si>
  <si>
    <t>ID_911</t>
  </si>
  <si>
    <t>M1_ROUND_ENCODER</t>
    <phoneticPr fontId="1"/>
  </si>
  <si>
    <t>ID_912</t>
  </si>
  <si>
    <t>ID_913</t>
  </si>
  <si>
    <t>ID_914</t>
  </si>
  <si>
    <t>ID_915</t>
  </si>
  <si>
    <t>ID_916</t>
  </si>
  <si>
    <t>ID_917</t>
  </si>
  <si>
    <t>ID_918</t>
  </si>
  <si>
    <t>ID_919</t>
  </si>
  <si>
    <t>ID_920</t>
  </si>
  <si>
    <t>ID_921</t>
  </si>
  <si>
    <t>ID_922</t>
  </si>
  <si>
    <t>ID_923</t>
  </si>
  <si>
    <t>ID_924</t>
  </si>
  <si>
    <t>ID_925</t>
  </si>
  <si>
    <t>ID_926</t>
  </si>
  <si>
    <t>ID_927</t>
  </si>
  <si>
    <t>ID_928</t>
  </si>
  <si>
    <t>ID_929</t>
  </si>
  <si>
    <t>ID_930</t>
  </si>
  <si>
    <t>フォーマ内径</t>
    <rPh sb="4" eb="6">
      <t>ナイケイ</t>
    </rPh>
    <phoneticPr fontId="1"/>
  </si>
  <si>
    <t>ID_931</t>
  </si>
  <si>
    <t>展開長</t>
    <rPh sb="0" eb="2">
      <t>テンカイ</t>
    </rPh>
    <rPh sb="2" eb="3">
      <t>チョウ</t>
    </rPh>
    <phoneticPr fontId="1"/>
  </si>
  <si>
    <t>ID_932</t>
  </si>
  <si>
    <t>基準値からの割合</t>
    <rPh sb="0" eb="3">
      <t>キジュンチ</t>
    </rPh>
    <rPh sb="6" eb="8">
      <t>ワリアイ</t>
    </rPh>
    <phoneticPr fontId="1"/>
  </si>
  <si>
    <t>ID_933</t>
  </si>
  <si>
    <t>ベースよりの高さ</t>
    <phoneticPr fontId="1"/>
  </si>
  <si>
    <t>ID_934</t>
  </si>
  <si>
    <t>ベースよりの高さ(実際)</t>
    <phoneticPr fontId="1"/>
  </si>
  <si>
    <t>ID_935</t>
  </si>
  <si>
    <t>絶壁部の高さ</t>
    <phoneticPr fontId="1"/>
  </si>
  <si>
    <t>ID_936</t>
  </si>
  <si>
    <t>セーラ寄りのチューブ中心よりのセーラ背</t>
    <phoneticPr fontId="1"/>
  </si>
  <si>
    <t>ID_937</t>
  </si>
  <si>
    <t>チューブ中心よりのセーラ背</t>
    <phoneticPr fontId="1"/>
  </si>
  <si>
    <t>ID_938</t>
  </si>
  <si>
    <t>フォーマローラとの距離</t>
    <phoneticPr fontId="1"/>
  </si>
  <si>
    <t>ID_939</t>
  </si>
  <si>
    <t>セーラ傾斜長</t>
    <phoneticPr fontId="1"/>
  </si>
  <si>
    <t>ID_940</t>
  </si>
  <si>
    <t>フォーマ部の長さ</t>
    <rPh sb="4" eb="5">
      <t>ブ</t>
    </rPh>
    <rPh sb="6" eb="7">
      <t>ナガ</t>
    </rPh>
    <phoneticPr fontId="1"/>
  </si>
  <si>
    <t>ID_941</t>
  </si>
  <si>
    <t>セーラ背～レジマークローラ(IF文計算)</t>
    <rPh sb="3" eb="4">
      <t>セ</t>
    </rPh>
    <rPh sb="16" eb="17">
      <t>ブン</t>
    </rPh>
    <rPh sb="17" eb="19">
      <t>ケイサン</t>
    </rPh>
    <phoneticPr fontId="1"/>
  </si>
  <si>
    <t>ID_942</t>
  </si>
  <si>
    <t>ID_943</t>
  </si>
  <si>
    <t>シール位置～レジマークセンサ間袋数</t>
    <rPh sb="3" eb="5">
      <t>イチ</t>
    </rPh>
    <rPh sb="14" eb="15">
      <t>カン</t>
    </rPh>
    <rPh sb="15" eb="16">
      <t>フクロ</t>
    </rPh>
    <rPh sb="16" eb="17">
      <t>スウ</t>
    </rPh>
    <phoneticPr fontId="1"/>
  </si>
  <si>
    <t>ID_944</t>
  </si>
  <si>
    <t>ストローク最上位位置～レジマークセンサ間袋数</t>
    <rPh sb="5" eb="8">
      <t>サイジョウイ</t>
    </rPh>
    <rPh sb="8" eb="10">
      <t>イチ</t>
    </rPh>
    <rPh sb="19" eb="20">
      <t>カン</t>
    </rPh>
    <rPh sb="20" eb="21">
      <t>フクロ</t>
    </rPh>
    <rPh sb="21" eb="22">
      <t>スウ</t>
    </rPh>
    <phoneticPr fontId="1"/>
  </si>
  <si>
    <t>ID_945</t>
  </si>
  <si>
    <t>シール位置～印字機間袋数</t>
    <phoneticPr fontId="1"/>
  </si>
  <si>
    <t>ID_946</t>
  </si>
  <si>
    <t>サイクルタイム</t>
    <phoneticPr fontId="1"/>
  </si>
  <si>
    <t>ID_947</t>
  </si>
  <si>
    <t>ナイフ計算Temp1</t>
    <rPh sb="3" eb="5">
      <t>ケイサン</t>
    </rPh>
    <phoneticPr fontId="1"/>
  </si>
  <si>
    <t>ID_948</t>
  </si>
  <si>
    <t>ナイフ計算Temp2</t>
    <rPh sb="3" eb="5">
      <t>ケイサン</t>
    </rPh>
    <phoneticPr fontId="1"/>
  </si>
  <si>
    <t>ID_949</t>
  </si>
  <si>
    <t>getKnifeWaitDuty()</t>
    <phoneticPr fontId="1"/>
  </si>
  <si>
    <t>ID_950</t>
  </si>
  <si>
    <t>シャッター閉から計量物落下タイミングの遅延Duty</t>
    <phoneticPr fontId="1"/>
  </si>
  <si>
    <t>ID_951</t>
  </si>
  <si>
    <t>ID_952</t>
  </si>
  <si>
    <t>印字トリガ位置calPrinterTrigPls()</t>
    <rPh sb="0" eb="2">
      <t>インジ</t>
    </rPh>
    <rPh sb="5" eb="7">
      <t>イチ</t>
    </rPh>
    <phoneticPr fontId="1"/>
  </si>
  <si>
    <t>ID_953</t>
  </si>
  <si>
    <t>サイクルTick</t>
    <phoneticPr fontId="1"/>
  </si>
  <si>
    <t>ID_954</t>
  </si>
  <si>
    <t>ID_955</t>
  </si>
  <si>
    <t>ID_956</t>
  </si>
  <si>
    <t>ID_957</t>
  </si>
  <si>
    <t>ID_958</t>
  </si>
  <si>
    <t>ID_959</t>
  </si>
  <si>
    <t>ID_960</t>
  </si>
  <si>
    <t>ID_961</t>
  </si>
  <si>
    <t>ID_962</t>
  </si>
  <si>
    <t>ID_963</t>
  </si>
  <si>
    <t>ID_964</t>
  </si>
  <si>
    <t>ID_965</t>
  </si>
  <si>
    <t>ID_966</t>
  </si>
  <si>
    <t>ID_967</t>
  </si>
  <si>
    <t>ID_968</t>
  </si>
  <si>
    <t>ID_969</t>
  </si>
  <si>
    <t>ID_970</t>
  </si>
  <si>
    <t>ID_971</t>
  </si>
  <si>
    <t>ID_972</t>
  </si>
  <si>
    <t>ID_973</t>
  </si>
  <si>
    <t>ID_974</t>
  </si>
  <si>
    <t>ID_975</t>
  </si>
  <si>
    <t>ID_976</t>
  </si>
  <si>
    <t>ID_977</t>
  </si>
  <si>
    <t>ID_978</t>
  </si>
  <si>
    <t>ID_979</t>
  </si>
  <si>
    <t>ID_980</t>
  </si>
  <si>
    <t>ID_981</t>
  </si>
  <si>
    <t>ID_982</t>
  </si>
  <si>
    <t>ID_983</t>
  </si>
  <si>
    <t>ID_984</t>
  </si>
  <si>
    <t>ID_985</t>
  </si>
  <si>
    <t>ID_986</t>
  </si>
  <si>
    <t>ID_987</t>
  </si>
  <si>
    <t>ID_988</t>
  </si>
  <si>
    <t>ID_989</t>
  </si>
  <si>
    <t>ID_990</t>
  </si>
  <si>
    <t>ID_991</t>
  </si>
  <si>
    <t>ID_992</t>
  </si>
  <si>
    <t>ID_993</t>
  </si>
  <si>
    <t>ID_994</t>
  </si>
  <si>
    <t>ID_995</t>
  </si>
  <si>
    <t>ID_996</t>
  </si>
  <si>
    <t>ID_997</t>
  </si>
  <si>
    <t>ID_998</t>
  </si>
  <si>
    <t>ID_999</t>
  </si>
  <si>
    <t>袋情報</t>
    <rPh sb="1" eb="3">
      <t>ジョウホウ</t>
    </rPh>
    <phoneticPr fontId="1"/>
  </si>
  <si>
    <t>アドレス識別子</t>
    <rPh sb="4" eb="7">
      <t>シキベツシ</t>
    </rPh>
    <phoneticPr fontId="1"/>
  </si>
  <si>
    <t>補足説明</t>
    <rPh sb="0" eb="2">
      <t>ホソク</t>
    </rPh>
    <rPh sb="2" eb="4">
      <t>セツメイ</t>
    </rPh>
    <phoneticPr fontId="1"/>
  </si>
  <si>
    <t>能力</t>
    <rPh sb="0" eb="2">
      <t>ノウリョク</t>
    </rPh>
    <phoneticPr fontId="1"/>
  </si>
  <si>
    <t>[袋/分]</t>
    <rPh sb="1" eb="2">
      <t>フクロ</t>
    </rPh>
    <rPh sb="3" eb="4">
      <t>フン</t>
    </rPh>
    <phoneticPr fontId="1"/>
  </si>
  <si>
    <t>BPM</t>
    <phoneticPr fontId="1"/>
  </si>
  <si>
    <t>ADR_NEW_BAG_SPEED</t>
  </si>
  <si>
    <t>袋幅</t>
    <rPh sb="0" eb="1">
      <t>フクロ</t>
    </rPh>
    <rPh sb="1" eb="2">
      <t>ハバ</t>
    </rPh>
    <phoneticPr fontId="1"/>
  </si>
  <si>
    <t>[mm]</t>
  </si>
  <si>
    <t>BW</t>
  </si>
  <si>
    <t>ADR_NEW_BAG_WIDTH</t>
  </si>
  <si>
    <t>袋長</t>
    <rPh sb="0" eb="1">
      <t>フクロ</t>
    </rPh>
    <rPh sb="1" eb="2">
      <t>ナガ</t>
    </rPh>
    <phoneticPr fontId="1"/>
  </si>
  <si>
    <t>BL</t>
    <phoneticPr fontId="1"/>
  </si>
  <si>
    <t>ADR_NEW_BAG_LENGTH</t>
  </si>
  <si>
    <t>側面幅</t>
    <phoneticPr fontId="1"/>
  </si>
  <si>
    <t>GSL</t>
  </si>
  <si>
    <t>ADR_NEW_GUSSET_SIDE_LENGTH</t>
  </si>
  <si>
    <t>レジマークONOFF</t>
    <phoneticPr fontId="1"/>
  </si>
  <si>
    <t>RGON</t>
    <phoneticPr fontId="1"/>
  </si>
  <si>
    <t>ADR_NEW_REG_ONOFF</t>
  </si>
  <si>
    <t>レジマーク長さ</t>
    <rPh sb="5" eb="6">
      <t>ナガ</t>
    </rPh>
    <phoneticPr fontId="1"/>
  </si>
  <si>
    <t>[mm]</t>
    <phoneticPr fontId="1"/>
  </si>
  <si>
    <t>RGW</t>
    <phoneticPr fontId="1"/>
  </si>
  <si>
    <t>ADR_NEW_REG_WIDTH</t>
  </si>
  <si>
    <t>計量物落下時間</t>
    <rPh sb="0" eb="7">
      <t>ケイリョウブツラッカジカン</t>
    </rPh>
    <phoneticPr fontId="1"/>
  </si>
  <si>
    <t>PDTM</t>
    <phoneticPr fontId="1"/>
  </si>
  <si>
    <t>ADR_NEW_PRODUCT_DROP_TIME</t>
    <phoneticPr fontId="1"/>
  </si>
  <si>
    <t>型式情報</t>
    <rPh sb="0" eb="2">
      <t>カタシキ</t>
    </rPh>
    <rPh sb="2" eb="4">
      <t>ジョウホウ</t>
    </rPh>
    <phoneticPr fontId="1"/>
  </si>
  <si>
    <t xml:space="preserve">	モデル名（世代）</t>
    <phoneticPr fontId="1"/>
  </si>
  <si>
    <t>MIGE</t>
    <phoneticPr fontId="1"/>
  </si>
  <si>
    <t>ADR_MACHINE_MODEL</t>
    <phoneticPr fontId="1"/>
  </si>
  <si>
    <t>モデル名　INSPIRA- x - **** - **** - *** の [x] の部分。0 : [ A ] Generation A, 1 : [ B ] Generation B</t>
    <phoneticPr fontId="1"/>
  </si>
  <si>
    <t>モデル名（横シール種別）</t>
    <phoneticPr fontId="1"/>
  </si>
  <si>
    <t>MIET</t>
    <phoneticPr fontId="1"/>
  </si>
  <si>
    <t>モデル名　INSPIRA- * - x*** - **** - *** の [x] の部分。0 : [ N ] 間欠機, 1 : [ R ] ロータリー機, 2 : [ B ] ボックスモーション機</t>
    <phoneticPr fontId="1"/>
  </si>
  <si>
    <t xml:space="preserve">	モデル名（横シール数）</t>
    <phoneticPr fontId="1"/>
  </si>
  <si>
    <t>MIEN</t>
    <phoneticPr fontId="1"/>
  </si>
  <si>
    <t>モデル名　INSPIRA- * - *x** - **** - *** の [x] の部分。0 : [ S ] シングルジョー, 1 : [ D ] ダブルジョー</t>
    <phoneticPr fontId="1"/>
  </si>
  <si>
    <t>モデル名（袋幅）</t>
    <phoneticPr fontId="1"/>
  </si>
  <si>
    <t>MIBW</t>
    <phoneticPr fontId="1"/>
  </si>
  <si>
    <t>モデル名　INSPIRA- * - **xx - **** - *** の [x] の部分。0 : [ 25 ] 最大袋幅250mm仕様, 1 : [ 33 ] 最大袋幅330mm仕様, 2 : [ 15 ] 最大袋幅150mm仕様</t>
    <phoneticPr fontId="1"/>
  </si>
  <si>
    <t>モデル名（縦シール種別）</t>
    <phoneticPr fontId="1"/>
  </si>
  <si>
    <t>MILT</t>
    <phoneticPr fontId="1"/>
  </si>
  <si>
    <t xml:space="preserve">	モデル名　INSPIRA- * - **** - xx** - *** の [x] の部分。0 : [ SB ] スチールベルト式, 1 : [ HB ] コテ式, 2 : [ PH ] ピンチ式</t>
    <phoneticPr fontId="1"/>
  </si>
  <si>
    <t>モデル名（縦シール長）</t>
    <phoneticPr fontId="1"/>
  </si>
  <si>
    <t>MILL</t>
    <phoneticPr fontId="1"/>
  </si>
  <si>
    <t xml:space="preserve">	モデル名　INSPIRA- * - **** - **xx - *** の [x] の部分。</t>
    <phoneticPr fontId="1"/>
  </si>
  <si>
    <t>モデル名（機長）</t>
    <phoneticPr fontId="1"/>
  </si>
  <si>
    <t>MIML</t>
    <phoneticPr fontId="1"/>
  </si>
  <si>
    <t>モデル名　INSPIRA- * - **** - **** - x** の [x] の部分。0 : [ S ] ショートボディ, 1 : [ L ] ロングボディ</t>
    <phoneticPr fontId="1"/>
  </si>
  <si>
    <t>モデル名（機幅）</t>
    <phoneticPr fontId="1"/>
  </si>
  <si>
    <t>MIMW</t>
    <phoneticPr fontId="1"/>
  </si>
  <si>
    <t xml:space="preserve">	モデル名　INSPIRA- * - **** - **** - *x* の [x] の部分。0 : [ N ] ナロー幅, 1 : [ W ] ワイド幅</t>
    <phoneticPr fontId="1"/>
  </si>
  <si>
    <t>モデル名（操作方向）</t>
    <phoneticPr fontId="1"/>
  </si>
  <si>
    <t>MIOS</t>
    <phoneticPr fontId="1"/>
  </si>
  <si>
    <t>モデル名　INSPIRA- * - **** - **** - **x の [x] の部分。0 : [ R ] 右マシン, 1 : [ L ] 左マシン</t>
    <phoneticPr fontId="1"/>
  </si>
  <si>
    <t>オプション</t>
    <phoneticPr fontId="1"/>
  </si>
  <si>
    <t>オプション印字機ONOFF</t>
    <rPh sb="5" eb="8">
      <t>インジキ</t>
    </rPh>
    <phoneticPr fontId="1"/>
  </si>
  <si>
    <t>OPPR</t>
    <phoneticPr fontId="1"/>
  </si>
  <si>
    <t>ADR_OPTION_PRINTER_ONOFF</t>
    <phoneticPr fontId="1"/>
  </si>
  <si>
    <t>計量物落下タイミング基点</t>
  </si>
  <si>
    <t>DTRP</t>
  </si>
  <si>
    <t>ADR_DUMP_TIMING_REF_POINT</t>
  </si>
  <si>
    <t>M1ギヤ比</t>
    <rPh sb="4" eb="5">
      <t>ヒ</t>
    </rPh>
    <phoneticPr fontId="1"/>
  </si>
  <si>
    <t>M1GR</t>
  </si>
  <si>
    <t>ADR_M1_GEAR_RATIO</t>
  </si>
  <si>
    <t>M1プーリー歯数</t>
    <rPh sb="6" eb="7">
      <t>ハ</t>
    </rPh>
    <rPh sb="7" eb="8">
      <t>スウ</t>
    </rPh>
    <phoneticPr fontId="1"/>
  </si>
  <si>
    <t>M1PT</t>
  </si>
  <si>
    <t>ADR_M1_NUM_OF_PULLEY_TEETH</t>
  </si>
  <si>
    <t>M1プルベルトピッチ</t>
    <phoneticPr fontId="1"/>
  </si>
  <si>
    <t>M1PP</t>
  </si>
  <si>
    <t>ADR_M1_PULLBELT_PITCH</t>
  </si>
  <si>
    <t>M1_START_DELAY_DUTY</t>
    <phoneticPr fontId="1"/>
  </si>
  <si>
    <t>M1SD</t>
    <phoneticPr fontId="1"/>
  </si>
  <si>
    <t>ADR_M1_START_DELAY_DUTY</t>
    <phoneticPr fontId="1"/>
  </si>
  <si>
    <t>村上</t>
    <rPh sb="0" eb="2">
      <t>ムラカミ</t>
    </rPh>
    <phoneticPr fontId="1"/>
  </si>
  <si>
    <t>CS33対応</t>
    <rPh sb="4" eb="6">
      <t>タイオウ</t>
    </rPh>
    <phoneticPr fontId="1"/>
  </si>
  <si>
    <t>STRIP_GAP</t>
    <phoneticPr fontId="1"/>
  </si>
  <si>
    <t>しごき間隔</t>
    <phoneticPr fontId="1"/>
  </si>
  <si>
    <t>レジマーク位置</t>
    <phoneticPr fontId="1"/>
  </si>
  <si>
    <t>継ぎ目シフト数</t>
    <phoneticPr fontId="1"/>
  </si>
  <si>
    <t>印字シフト数</t>
    <phoneticPr fontId="1"/>
  </si>
  <si>
    <t>ナイフオンDuty</t>
    <phoneticPr fontId="1"/>
  </si>
  <si>
    <t>CS33対応の際CS15が計算できなくなっていたため応急処置</t>
    <rPh sb="4" eb="6">
      <t>タイオウ</t>
    </rPh>
    <rPh sb="7" eb="8">
      <t>サイ</t>
    </rPh>
    <rPh sb="13" eb="15">
      <t>ケイサン</t>
    </rPh>
    <rPh sb="26" eb="28">
      <t>オウキュウ</t>
    </rPh>
    <rPh sb="28" eb="30">
      <t>ショチ</t>
    </rPh>
    <phoneticPr fontId="1"/>
  </si>
  <si>
    <t>DUMP_TIMING_FROM_SHUTTER_CLOSE</t>
    <phoneticPr fontId="1"/>
  </si>
  <si>
    <t>CS33の場合、セーラからフォーマローラまでのフィルムパス長を考慮するようにした</t>
    <rPh sb="5" eb="7">
      <t>バアイ</t>
    </rPh>
    <rPh sb="29" eb="30">
      <t>チョウ</t>
    </rPh>
    <rPh sb="31" eb="33">
      <t>コウリョ</t>
    </rPh>
    <phoneticPr fontId="1"/>
  </si>
  <si>
    <t>フォーマローラ位置が直角時のパス長</t>
    <rPh sb="7" eb="9">
      <t>イチ</t>
    </rPh>
    <rPh sb="10" eb="12">
      <t>チョッカク</t>
    </rPh>
    <rPh sb="12" eb="13">
      <t>ジ</t>
    </rPh>
    <rPh sb="16" eb="17">
      <t>チョウ</t>
    </rPh>
    <phoneticPr fontId="1"/>
  </si>
  <si>
    <t>セーラ高さ～縦シール上端</t>
    <phoneticPr fontId="1"/>
  </si>
  <si>
    <t>セーラからフォーマローラまでのパス長</t>
    <phoneticPr fontId="1"/>
  </si>
  <si>
    <t>セーラ背～フォーマローラ(フォーマローラ適正位置)</t>
    <rPh sb="3" eb="4">
      <t>セ</t>
    </rPh>
    <rPh sb="20" eb="22">
      <t>テキセイ</t>
    </rPh>
    <rPh sb="22" eb="24">
      <t>イチ</t>
    </rPh>
    <phoneticPr fontId="1"/>
  </si>
  <si>
    <t>セーラ背～フォーマローラ（フォーマローラ位置がセーラ同角度時）</t>
    <rPh sb="3" eb="4">
      <t>セ</t>
    </rPh>
    <rPh sb="20" eb="22">
      <t>イチ</t>
    </rPh>
    <rPh sb="26" eb="27">
      <t>ドウ</t>
    </rPh>
    <rPh sb="27" eb="29">
      <t>カクド</t>
    </rPh>
    <rPh sb="29" eb="30">
      <t>ジ</t>
    </rPh>
    <phoneticPr fontId="1"/>
  </si>
  <si>
    <t>セーラ背(CS33:フォーマローラ)～レジマークローラ</t>
    <rPh sb="3" eb="4">
      <t>セ</t>
    </rPh>
    <phoneticPr fontId="1"/>
  </si>
  <si>
    <t>セーラ高さ～縦シール上端の長さを100→50に修正した</t>
    <rPh sb="13" eb="14">
      <t>ナガ</t>
    </rPh>
    <rPh sb="23" eb="25">
      <t>シュウセイ</t>
    </rPh>
    <phoneticPr fontId="1"/>
  </si>
  <si>
    <t>フォーマローラ関連の計算を修正（セーラ背～フォーマローラ(フォーマローラ適正位置)を追加し、セーラ背～レジマークローラから引く）</t>
    <rPh sb="7" eb="9">
      <t>カンレン</t>
    </rPh>
    <rPh sb="10" eb="12">
      <t>ケイサン</t>
    </rPh>
    <rPh sb="13" eb="15">
      <t>シュウセイ</t>
    </rPh>
    <rPh sb="42" eb="44">
      <t>ツイカ</t>
    </rPh>
    <rPh sb="61" eb="62">
      <t>ヒ</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</si>
</sst>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12"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sz val="11"/>
      <color theme="1"/>
      <name val="ＭＳ Ｐゴシック"/>
      <family val="2"/>
      <scheme val="minor"/>
    </font>
    <font>
      <sz val="11"/>
      <color theme="1"/>
      <name val="ＭＳ Ｐゴシック"/>
      <family val="2"/>
      <charset val="128"/>
      <scheme val="minor"/>
    </font>
    <font>
      <sz val="11"/>
      <color theme="1"/>
      <name val="ＭＳ Ｐゴシック"/>
      <family val="3"/>
      <charset val="128"/>
      <scheme val="minor"/>
    </font>
    <font>
      <sz val="12"/>
      <color theme="1"/>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scheme val="minor"/>
    </font>
    <font>
      <b/>
      <u/>
      <sz val="16"/>
      <color rgb="FFFF0000"/>
      <name val="ＭＳ Ｐゴシック"/>
      <family val="3"/>
      <charset val="128"/>
      <scheme val="minor"/>
    </font>
    <font>
      <sz val="11"/>
      <color rgb="FF000000"/>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99CCFF"/>
        <bgColor rgb="FF000000"/>
      </patternFill>
    </fill>
    <fill>
      <patternFill patternType="solid">
        <fgColor rgb="FFFFFF00"/>
        <bgColor rgb="FF000000"/>
      </patternFill>
    </fill>
    <fill>
      <patternFill patternType="solid">
        <fgColor rgb="FFFFFF00"/>
        <bgColor indexed="64"/>
      </patternFill>
    </fill>
    <fill>
      <patternFill patternType="solid">
        <fgColor theme="0" tint="-0.249977111117893"/>
        <bgColor rgb="FF000000"/>
      </patternFill>
    </fill>
  </fills>
  <borders count="8">
    <border>
      <left/>
      <right/>
      <top/>
      <bottom/>
      <diagonal/>
    </border>
    <border>
      <left/>
      <right/>
      <top style="medium">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alignment vertical="center"/>
    </xf>
    <xf numFmtId="0" fontId="4" fillId="0" borderId="0"/>
    <xf numFmtId="0" fontId="5" fillId="0" borderId="0">
      <alignment vertical="center"/>
    </xf>
    <xf numFmtId="0" fontId="7" fillId="0" borderId="0">
      <alignment vertical="center"/>
    </xf>
    <xf numFmtId="0" fontId="6" fillId="0" borderId="0"/>
    <xf numFmtId="0" fontId="4" fillId="0" borderId="0"/>
    <xf numFmtId="0" fontId="7" fillId="0" borderId="0">
      <alignment vertical="center"/>
    </xf>
    <xf numFmtId="0" fontId="5" fillId="0" borderId="0">
      <alignment vertical="center"/>
    </xf>
    <xf numFmtId="0" fontId="4" fillId="0" borderId="0"/>
    <xf numFmtId="0" fontId="7" fillId="0" borderId="0">
      <alignment vertical="center"/>
    </xf>
    <xf numFmtId="0" fontId="6" fillId="0" borderId="0"/>
    <xf numFmtId="0" fontId="5" fillId="0" borderId="0">
      <alignment vertical="center"/>
    </xf>
    <xf numFmtId="0" fontId="5" fillId="0" borderId="0">
      <alignment vertical="center"/>
    </xf>
    <xf numFmtId="0" fontId="7" fillId="0" borderId="0">
      <alignment vertical="center"/>
    </xf>
    <xf numFmtId="0" fontId="5" fillId="0" borderId="0">
      <alignment vertical="center"/>
    </xf>
    <xf numFmtId="0" fontId="5" fillId="0" borderId="0">
      <alignment vertical="center"/>
    </xf>
  </cellStyleXfs>
  <cellXfs count="37">
    <xf numFmtId="0" fontId="0" fillId="0" borderId="0" xfId="0">
      <alignment vertical="center"/>
    </xf>
    <xf numFmtId="0" fontId="0" fillId="3" borderId="5" xfId="0" applyFill="1" applyBorder="1">
      <alignment vertical="center"/>
    </xf>
    <xf numFmtId="0" fontId="0" fillId="2" borderId="1" xfId="0" applyFill="1" applyBorder="1">
      <alignment vertical="center"/>
    </xf>
    <xf numFmtId="0" fontId="0" fillId="2" borderId="2" xfId="0" applyFill="1" applyBorder="1">
      <alignment vertical="center"/>
    </xf>
    <xf numFmtId="0" fontId="9" fillId="5" borderId="4" xfId="0" applyFont="1" applyFill="1" applyBorder="1">
      <alignment vertical="center"/>
    </xf>
    <xf numFmtId="0" fontId="9" fillId="0" borderId="4" xfId="0" applyFont="1" applyBorder="1">
      <alignment vertical="center"/>
    </xf>
    <xf numFmtId="0" fontId="9" fillId="4" borderId="3" xfId="0" applyFont="1" applyFill="1" applyBorder="1">
      <alignment vertical="center"/>
    </xf>
    <xf numFmtId="0" fontId="9" fillId="4" borderId="6" xfId="0" applyFont="1" applyFill="1" applyBorder="1">
      <alignment vertical="center"/>
    </xf>
    <xf numFmtId="0" fontId="9" fillId="4" borderId="7" xfId="0" applyFont="1" applyFill="1" applyBorder="1">
      <alignment vertical="center"/>
    </xf>
    <xf numFmtId="0" fontId="0" fillId="0" borderId="4" xfId="0" applyBorder="1">
      <alignment vertical="center"/>
    </xf>
    <xf numFmtId="0" fontId="0" fillId="0" borderId="4" xfId="0" applyBorder="1" applyAlignment="1">
      <alignment horizontal="center" vertical="center"/>
    </xf>
    <xf numFmtId="14" fontId="0" fillId="0" borderId="4" xfId="0" applyNumberFormat="1" applyBorder="1">
      <alignment vertical="center"/>
    </xf>
    <xf numFmtId="0" fontId="8" fillId="0" borderId="0" xfId="0" applyFont="1">
      <alignment vertical="center"/>
    </xf>
    <xf numFmtId="0" fontId="3" fillId="0" borderId="0" xfId="0" applyFont="1">
      <alignment vertical="center"/>
    </xf>
    <xf numFmtId="0" fontId="8" fillId="4" borderId="6" xfId="0" applyFont="1" applyFill="1" applyBorder="1">
      <alignment vertical="center"/>
    </xf>
    <xf numFmtId="0" fontId="8" fillId="4" borderId="7" xfId="0" applyFont="1" applyFill="1" applyBorder="1">
      <alignment vertical="center"/>
    </xf>
    <xf numFmtId="0" fontId="10" fillId="0" borderId="0" xfId="0" applyFont="1">
      <alignment vertical="center"/>
    </xf>
    <xf numFmtId="0" fontId="2" fillId="0" borderId="0" xfId="0" applyFont="1">
      <alignment vertical="center"/>
    </xf>
    <xf numFmtId="0" fontId="2" fillId="4" borderId="3" xfId="0" applyFont="1" applyFill="1" applyBorder="1">
      <alignment vertical="center"/>
    </xf>
    <xf numFmtId="0" fontId="2" fillId="5" borderId="4" xfId="0" applyFont="1" applyFill="1" applyBorder="1">
      <alignment vertical="center"/>
    </xf>
    <xf numFmtId="0" fontId="2" fillId="2" borderId="4" xfId="0" applyFont="1" applyFill="1" applyBorder="1">
      <alignment vertical="center"/>
    </xf>
    <xf numFmtId="176" fontId="0" fillId="0" borderId="0" xfId="0" applyNumberFormat="1">
      <alignment vertical="center"/>
    </xf>
    <xf numFmtId="1" fontId="0" fillId="0" borderId="0" xfId="0" applyNumberFormat="1">
      <alignment vertical="center"/>
    </xf>
    <xf numFmtId="0" fontId="2" fillId="2" borderId="4" xfId="0" applyFont="1" applyFill="1" applyBorder="1" applyAlignment="1">
      <alignment horizontal="right" vertical="center"/>
    </xf>
    <xf numFmtId="0" fontId="2" fillId="6" borderId="4" xfId="0" applyFont="1" applyFill="1" applyBorder="1">
      <alignment vertical="center"/>
    </xf>
    <xf numFmtId="0" fontId="11" fillId="0" borderId="0" xfId="0" applyFont="1">
      <alignment vertical="center"/>
    </xf>
    <xf numFmtId="177" fontId="9" fillId="4" borderId="6" xfId="0" applyNumberFormat="1" applyFont="1" applyFill="1" applyBorder="1">
      <alignment vertical="center"/>
    </xf>
    <xf numFmtId="177" fontId="9" fillId="7" borderId="4" xfId="0" applyNumberFormat="1" applyFont="1" applyFill="1" applyBorder="1">
      <alignment vertical="center"/>
    </xf>
    <xf numFmtId="177" fontId="8" fillId="4" borderId="6" xfId="0" applyNumberFormat="1" applyFont="1" applyFill="1" applyBorder="1">
      <alignment vertical="center"/>
    </xf>
    <xf numFmtId="177" fontId="0" fillId="0" borderId="0" xfId="0" applyNumberFormat="1">
      <alignment vertical="center"/>
    </xf>
    <xf numFmtId="49" fontId="0" fillId="0" borderId="4" xfId="0" applyNumberFormat="1" applyBorder="1">
      <alignment vertical="center"/>
    </xf>
    <xf numFmtId="1" fontId="0" fillId="0" borderId="0" xfId="0" applyNumberFormat="1" applyAlignment="1">
      <alignment vertical="center" wrapText="1"/>
    </xf>
    <xf numFmtId="0" fontId="0" fillId="0" borderId="4" xfId="0" applyBorder="1" applyAlignment="1">
      <alignment horizontal="left" vertical="center"/>
    </xf>
    <xf numFmtId="0" fontId="0" fillId="0" borderId="3"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4" xfId="0" applyBorder="1" applyAlignment="1">
      <alignment horizontal="center" vertical="center"/>
    </xf>
  </cellXfs>
  <cellStyles count="16">
    <cellStyle name="標準" xfId="0" builtinId="0"/>
    <cellStyle name="標準 2" xfId="1" xr:uid="{00000000-0005-0000-0000-000001000000}"/>
    <cellStyle name="標準 2 2" xfId="10" xr:uid="{00000000-0005-0000-0000-000002000000}"/>
    <cellStyle name="標準 2 3" xfId="8" xr:uid="{00000000-0005-0000-0000-000003000000}"/>
    <cellStyle name="標準 2 4" xfId="4" xr:uid="{00000000-0005-0000-0000-000004000000}"/>
    <cellStyle name="標準 3" xfId="2" xr:uid="{00000000-0005-0000-0000-000005000000}"/>
    <cellStyle name="標準 3 2" xfId="15" xr:uid="{00000000-0005-0000-0000-000006000000}"/>
    <cellStyle name="標準 3 3" xfId="5" xr:uid="{00000000-0005-0000-0000-000007000000}"/>
    <cellStyle name="標準 4" xfId="6" xr:uid="{00000000-0005-0000-0000-000008000000}"/>
    <cellStyle name="標準 5" xfId="9" xr:uid="{00000000-0005-0000-0000-000009000000}"/>
    <cellStyle name="標準 6" xfId="7" xr:uid="{00000000-0005-0000-0000-00000A000000}"/>
    <cellStyle name="標準 6 2" xfId="12" xr:uid="{00000000-0005-0000-0000-00000B000000}"/>
    <cellStyle name="標準 6 3" xfId="11" xr:uid="{00000000-0005-0000-0000-00000C000000}"/>
    <cellStyle name="標準 7" xfId="13" xr:uid="{00000000-0005-0000-0000-00000D000000}"/>
    <cellStyle name="標準 8" xfId="14" xr:uid="{00000000-0005-0000-0000-00000E000000}"/>
    <cellStyle name="標準 9" xfId="3" xr:uid="{00000000-0005-0000-0000-00000F00000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9525</xdr:rowOff>
        </xdr:from>
        <xdr:to>
          <xdr:col>11</xdr:col>
          <xdr:colOff>219075</xdr:colOff>
          <xdr:row>0</xdr:row>
          <xdr:rowOff>219075</xdr:rowOff>
        </xdr:to>
        <xdr:sp macro="" textlink="">
          <xdr:nvSpPr>
            <xdr:cNvPr id="1025" name="Button 1" descr="計算式をCSV形式で出力"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計算式を出力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2362200</xdr:colOff>
          <xdr:row>0</xdr:row>
          <xdr:rowOff>19050</xdr:rowOff>
        </xdr:from>
        <xdr:to>
          <xdr:col>6</xdr:col>
          <xdr:colOff>3609975</xdr:colOff>
          <xdr:row>0</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VAL.CSVを出力</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kafumi Otani" id="{40B12CD6-7F94-4F51-A069-45ED80F61F07}" userId="S::ohtani@ishida.co.jp::872b3da7-139e-4e03-8446-cd51bf472cbc"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a:solidFill>
            <a:schemeClr val="bg1">
              <a:lumMod val="50000"/>
            </a:schemeClr>
          </a:solidFill>
        </a:ln>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5" dT="2023-06-16T05:39:36.96" personId="{40B12CD6-7F94-4F51-A069-45ED80F61F07}" id="{71291DB4-BF5C-4E34-A7A5-B0467A2DFC93}">
    <text>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1"/>
  <sheetViews>
    <sheetView workbookViewId="0">
      <selection activeCell="D14" sqref="D14:O14"/>
    </sheetView>
  </sheetViews>
  <sheetFormatPr defaultRowHeight="13.5" x14ac:dyDescent="0.15"/>
  <cols>
    <col min="2" max="2" width="11.625" bestFit="1" customWidth="1"/>
  </cols>
  <sheetData>
    <row r="2" spans="1:15" ht="18.75" x14ac:dyDescent="0.15">
      <c r="B2" s="16" t="s">
        <v>0</v>
      </c>
    </row>
    <row r="3" spans="1:15" ht="18.75" x14ac:dyDescent="0.15">
      <c r="B3" s="16"/>
    </row>
    <row r="4" spans="1:15" ht="18.75" x14ac:dyDescent="0.15">
      <c r="B4" s="16"/>
    </row>
    <row r="7" spans="1:15" x14ac:dyDescent="0.15">
      <c r="A7" s="9" t="s">
        <v>1</v>
      </c>
      <c r="B7" s="10" t="s">
        <v>2</v>
      </c>
      <c r="C7" s="10" t="s">
        <v>3</v>
      </c>
      <c r="D7" s="36" t="s">
        <v>4</v>
      </c>
      <c r="E7" s="36"/>
      <c r="F7" s="36"/>
      <c r="G7" s="36"/>
      <c r="H7" s="36"/>
      <c r="I7" s="36"/>
      <c r="J7" s="36"/>
      <c r="K7" s="36"/>
      <c r="L7" s="36"/>
      <c r="M7" s="36"/>
      <c r="N7" s="36"/>
      <c r="O7" s="36"/>
    </row>
    <row r="8" spans="1:15" x14ac:dyDescent="0.15">
      <c r="A8" s="30" t="s">
        <v>5</v>
      </c>
      <c r="B8" s="11">
        <v>45077</v>
      </c>
      <c r="C8" s="9" t="s">
        <v>6</v>
      </c>
      <c r="D8" s="32" t="s">
        <v>7</v>
      </c>
      <c r="E8" s="32"/>
      <c r="F8" s="32"/>
      <c r="G8" s="32"/>
      <c r="H8" s="32"/>
      <c r="I8" s="32"/>
      <c r="J8" s="32"/>
      <c r="K8" s="32"/>
      <c r="L8" s="32"/>
      <c r="M8" s="32"/>
      <c r="N8" s="32"/>
      <c r="O8" s="32"/>
    </row>
    <row r="9" spans="1:15" x14ac:dyDescent="0.15">
      <c r="A9" s="30" t="s">
        <v>8</v>
      </c>
      <c r="B9" s="11">
        <v>45077</v>
      </c>
      <c r="C9" s="9" t="s">
        <v>6</v>
      </c>
      <c r="D9" s="32" t="s">
        <v>9</v>
      </c>
      <c r="E9" s="32"/>
      <c r="F9" s="32"/>
      <c r="G9" s="32"/>
      <c r="H9" s="32"/>
      <c r="I9" s="32"/>
      <c r="J9" s="32"/>
      <c r="K9" s="32"/>
      <c r="L9" s="32"/>
      <c r="M9" s="32"/>
      <c r="N9" s="32"/>
      <c r="O9" s="32"/>
    </row>
    <row r="10" spans="1:15" ht="13.15" customHeight="1" x14ac:dyDescent="0.15">
      <c r="A10" s="30" t="s">
        <v>10</v>
      </c>
      <c r="B10" s="11">
        <v>45078</v>
      </c>
      <c r="C10" s="9" t="s">
        <v>6</v>
      </c>
      <c r="D10" s="32" t="s">
        <v>11</v>
      </c>
      <c r="E10" s="32"/>
      <c r="F10" s="32"/>
      <c r="G10" s="32"/>
      <c r="H10" s="32"/>
      <c r="I10" s="32"/>
      <c r="J10" s="32"/>
      <c r="K10" s="32"/>
      <c r="L10" s="32"/>
      <c r="M10" s="32"/>
      <c r="N10" s="32"/>
      <c r="O10" s="32"/>
    </row>
    <row r="11" spans="1:15" x14ac:dyDescent="0.15">
      <c r="A11" s="30" t="s">
        <v>12</v>
      </c>
      <c r="B11" s="11">
        <v>45084</v>
      </c>
      <c r="C11" s="9" t="s">
        <v>6</v>
      </c>
      <c r="D11" s="32" t="s">
        <v>13</v>
      </c>
      <c r="E11" s="32"/>
      <c r="F11" s="32"/>
      <c r="G11" s="32"/>
      <c r="H11" s="32"/>
      <c r="I11" s="32"/>
      <c r="J11" s="32"/>
      <c r="K11" s="32"/>
      <c r="L11" s="32"/>
      <c r="M11" s="32"/>
      <c r="N11" s="32"/>
      <c r="O11" s="32"/>
    </row>
    <row r="12" spans="1:15" x14ac:dyDescent="0.15">
      <c r="A12" s="30" t="s">
        <v>14</v>
      </c>
      <c r="B12" s="11">
        <v>45084</v>
      </c>
      <c r="C12" s="9" t="s">
        <v>6</v>
      </c>
      <c r="D12" s="32" t="s">
        <v>15</v>
      </c>
      <c r="E12" s="32"/>
      <c r="F12" s="32"/>
      <c r="G12" s="32"/>
      <c r="H12" s="32"/>
      <c r="I12" s="32"/>
      <c r="J12" s="32"/>
      <c r="K12" s="32"/>
      <c r="L12" s="32"/>
      <c r="M12" s="32"/>
      <c r="N12" s="32"/>
      <c r="O12" s="32"/>
    </row>
    <row r="13" spans="1:15" x14ac:dyDescent="0.15">
      <c r="A13" s="30" t="s">
        <v>16</v>
      </c>
      <c r="B13" s="11">
        <v>45096</v>
      </c>
      <c r="C13" s="9" t="s">
        <v>17</v>
      </c>
      <c r="D13" s="32" t="s">
        <v>18</v>
      </c>
      <c r="E13" s="32"/>
      <c r="F13" s="32"/>
      <c r="G13" s="32"/>
      <c r="H13" s="32"/>
      <c r="I13" s="32"/>
      <c r="J13" s="32"/>
      <c r="K13" s="32"/>
      <c r="L13" s="32"/>
      <c r="M13" s="32"/>
      <c r="N13" s="32"/>
      <c r="O13" s="32"/>
    </row>
    <row r="14" spans="1:15" x14ac:dyDescent="0.15">
      <c r="A14" s="30" t="s">
        <v>19</v>
      </c>
      <c r="B14" s="11">
        <v>45100</v>
      </c>
      <c r="C14" s="9" t="s">
        <v>17</v>
      </c>
      <c r="D14" s="32" t="s">
        <v>20</v>
      </c>
      <c r="E14" s="32"/>
      <c r="F14" s="32"/>
      <c r="G14" s="32"/>
      <c r="H14" s="32"/>
      <c r="I14" s="32"/>
      <c r="J14" s="32"/>
      <c r="K14" s="32"/>
      <c r="L14" s="32"/>
      <c r="M14" s="32"/>
      <c r="N14" s="32"/>
      <c r="O14" s="32"/>
    </row>
    <row r="15" spans="1:15" x14ac:dyDescent="0.15">
      <c r="A15" s="30" t="s">
        <v>21</v>
      </c>
      <c r="B15" s="11">
        <v>45103</v>
      </c>
      <c r="C15" s="9" t="s">
        <v>6</v>
      </c>
      <c r="D15" s="33" t="s">
        <v>22</v>
      </c>
      <c r="E15" s="34"/>
      <c r="F15" s="34"/>
      <c r="G15" s="34"/>
      <c r="H15" s="34"/>
      <c r="I15" s="34"/>
      <c r="J15" s="34"/>
      <c r="K15" s="34"/>
      <c r="L15" s="34"/>
      <c r="M15" s="34"/>
      <c r="N15" s="34"/>
      <c r="O15" s="35"/>
    </row>
    <row r="16" spans="1:15" x14ac:dyDescent="0.15">
      <c r="A16" s="30" t="s">
        <v>23</v>
      </c>
      <c r="B16" s="11">
        <v>45104</v>
      </c>
      <c r="C16" s="9" t="s">
        <v>6</v>
      </c>
      <c r="D16" s="32" t="s">
        <v>24</v>
      </c>
      <c r="E16" s="32"/>
      <c r="F16" s="32"/>
      <c r="G16" s="32"/>
      <c r="H16" s="32"/>
      <c r="I16" s="32"/>
      <c r="J16" s="32"/>
      <c r="K16" s="32"/>
      <c r="L16" s="32"/>
      <c r="M16" s="32"/>
      <c r="N16" s="32"/>
      <c r="O16" s="32"/>
    </row>
    <row r="17" spans="1:15" x14ac:dyDescent="0.15">
      <c r="A17" s="30" t="s">
        <v>25</v>
      </c>
      <c r="B17" s="11">
        <v>45105</v>
      </c>
      <c r="C17" s="9" t="s">
        <v>6</v>
      </c>
      <c r="D17" s="32" t="s">
        <v>26</v>
      </c>
      <c r="E17" s="32"/>
      <c r="F17" s="32"/>
      <c r="G17" s="32"/>
      <c r="H17" s="32"/>
      <c r="I17" s="32"/>
      <c r="J17" s="32"/>
      <c r="K17" s="32"/>
      <c r="L17" s="32"/>
      <c r="M17" s="32"/>
      <c r="N17" s="32"/>
      <c r="O17" s="32"/>
    </row>
    <row r="18" spans="1:15" x14ac:dyDescent="0.15">
      <c r="A18" s="30" t="s">
        <v>27</v>
      </c>
      <c r="B18" s="11">
        <v>45105</v>
      </c>
      <c r="C18" s="9" t="s">
        <v>6</v>
      </c>
      <c r="D18" s="32" t="s">
        <v>28</v>
      </c>
      <c r="E18" s="32"/>
      <c r="F18" s="32"/>
      <c r="G18" s="32"/>
      <c r="H18" s="32"/>
      <c r="I18" s="32"/>
      <c r="J18" s="32"/>
      <c r="K18" s="32"/>
      <c r="L18" s="32"/>
      <c r="M18" s="32"/>
      <c r="N18" s="32"/>
      <c r="O18" s="32"/>
    </row>
    <row r="19" spans="1:15" x14ac:dyDescent="0.15">
      <c r="A19" s="30" t="s">
        <v>29</v>
      </c>
      <c r="B19" s="11">
        <v>45112</v>
      </c>
      <c r="C19" s="9" t="s">
        <v>30</v>
      </c>
      <c r="D19" s="32" t="s">
        <v>31</v>
      </c>
      <c r="E19" s="32"/>
      <c r="F19" s="32"/>
      <c r="G19" s="32"/>
      <c r="H19" s="32"/>
      <c r="I19" s="32"/>
      <c r="J19" s="32"/>
      <c r="K19" s="32"/>
      <c r="L19" s="32"/>
      <c r="M19" s="32"/>
      <c r="N19" s="32"/>
      <c r="O19" s="32"/>
    </row>
    <row r="20" spans="1:15" x14ac:dyDescent="0.15">
      <c r="A20" s="30" t="s">
        <v>32</v>
      </c>
      <c r="B20" s="11">
        <v>45113</v>
      </c>
      <c r="C20" s="9" t="s">
        <v>30</v>
      </c>
      <c r="D20" s="32" t="s">
        <v>33</v>
      </c>
      <c r="E20" s="32"/>
      <c r="F20" s="32"/>
      <c r="G20" s="32"/>
      <c r="H20" s="32"/>
      <c r="I20" s="32"/>
      <c r="J20" s="32"/>
      <c r="K20" s="32"/>
      <c r="L20" s="32"/>
      <c r="M20" s="32"/>
      <c r="N20" s="32"/>
      <c r="O20" s="32"/>
    </row>
    <row r="21" spans="1:15" x14ac:dyDescent="0.15">
      <c r="A21" s="30" t="s">
        <v>34</v>
      </c>
      <c r="B21" s="11">
        <v>45125</v>
      </c>
      <c r="C21" s="9" t="s">
        <v>30</v>
      </c>
      <c r="D21" s="32" t="s">
        <v>35</v>
      </c>
      <c r="E21" s="32"/>
      <c r="F21" s="32"/>
      <c r="G21" s="32"/>
      <c r="H21" s="32"/>
      <c r="I21" s="32"/>
      <c r="J21" s="32"/>
      <c r="K21" s="32"/>
      <c r="L21" s="32"/>
      <c r="M21" s="32"/>
      <c r="N21" s="32"/>
      <c r="O21" s="32"/>
    </row>
    <row r="22" spans="1:15" x14ac:dyDescent="0.15">
      <c r="A22" s="30" t="s">
        <v>36</v>
      </c>
      <c r="B22" s="11">
        <v>45237</v>
      </c>
      <c r="C22" s="9" t="s">
        <v>1377</v>
      </c>
      <c r="D22" s="32" t="s">
        <v>1378</v>
      </c>
      <c r="E22" s="32"/>
      <c r="F22" s="32"/>
      <c r="G22" s="32"/>
      <c r="H22" s="32"/>
      <c r="I22" s="32"/>
      <c r="J22" s="32"/>
      <c r="K22" s="32"/>
      <c r="L22" s="32"/>
      <c r="M22" s="32"/>
      <c r="N22" s="32"/>
      <c r="O22" s="32"/>
    </row>
    <row r="23" spans="1:15" x14ac:dyDescent="0.15">
      <c r="A23" s="30" t="s">
        <v>37</v>
      </c>
      <c r="B23" s="11">
        <v>45645</v>
      </c>
      <c r="C23" s="9" t="s">
        <v>1377</v>
      </c>
      <c r="D23" s="32" t="s">
        <v>1385</v>
      </c>
      <c r="E23" s="32"/>
      <c r="F23" s="32"/>
      <c r="G23" s="32"/>
      <c r="H23" s="32"/>
      <c r="I23" s="32"/>
      <c r="J23" s="32"/>
      <c r="K23" s="32"/>
      <c r="L23" s="32"/>
      <c r="M23" s="32"/>
      <c r="N23" s="32"/>
      <c r="O23" s="32"/>
    </row>
    <row r="24" spans="1:15" x14ac:dyDescent="0.15">
      <c r="A24" s="30" t="s">
        <v>38</v>
      </c>
      <c r="B24" s="11">
        <v>45701</v>
      </c>
      <c r="C24" s="9" t="s">
        <v>1377</v>
      </c>
      <c r="D24" s="32" t="s">
        <v>1387</v>
      </c>
      <c r="E24" s="32"/>
      <c r="F24" s="32"/>
      <c r="G24" s="32"/>
      <c r="H24" s="32"/>
      <c r="I24" s="32"/>
      <c r="J24" s="32"/>
      <c r="K24" s="32"/>
      <c r="L24" s="32"/>
      <c r="M24" s="32"/>
      <c r="N24" s="32"/>
      <c r="O24" s="32"/>
    </row>
    <row r="25" spans="1:15" x14ac:dyDescent="0.15">
      <c r="A25" s="30" t="s">
        <v>39</v>
      </c>
      <c r="B25" s="11">
        <v>45701</v>
      </c>
      <c r="C25" s="9" t="s">
        <v>1377</v>
      </c>
      <c r="D25" s="32" t="s">
        <v>1394</v>
      </c>
      <c r="E25" s="32"/>
      <c r="F25" s="32"/>
      <c r="G25" s="32"/>
      <c r="H25" s="32"/>
      <c r="I25" s="32"/>
      <c r="J25" s="32"/>
      <c r="K25" s="32"/>
      <c r="L25" s="32"/>
      <c r="M25" s="32"/>
      <c r="N25" s="32"/>
      <c r="O25" s="32"/>
    </row>
    <row r="26" spans="1:15" x14ac:dyDescent="0.15">
      <c r="A26" s="30" t="s">
        <v>40</v>
      </c>
      <c r="B26" s="11">
        <v>45706</v>
      </c>
      <c r="C26" s="9" t="s">
        <v>1377</v>
      </c>
      <c r="D26" s="32" t="s">
        <v>1395</v>
      </c>
      <c r="E26" s="32"/>
      <c r="F26" s="32"/>
      <c r="G26" s="32"/>
      <c r="H26" s="32"/>
      <c r="I26" s="32"/>
      <c r="J26" s="32"/>
      <c r="K26" s="32"/>
      <c r="L26" s="32"/>
      <c r="M26" s="32"/>
      <c r="N26" s="32"/>
      <c r="O26" s="32"/>
    </row>
    <row r="27" spans="1:15" x14ac:dyDescent="0.15">
      <c r="A27" s="30" t="s">
        <v>41</v>
      </c>
      <c r="B27" s="9"/>
      <c r="C27" s="9"/>
      <c r="D27" s="32"/>
      <c r="E27" s="32"/>
      <c r="F27" s="32"/>
      <c r="G27" s="32"/>
      <c r="H27" s="32"/>
      <c r="I27" s="32"/>
      <c r="J27" s="32"/>
      <c r="K27" s="32"/>
      <c r="L27" s="32"/>
      <c r="M27" s="32"/>
      <c r="N27" s="32"/>
      <c r="O27" s="32"/>
    </row>
    <row r="28" spans="1:15" x14ac:dyDescent="0.15">
      <c r="A28" s="30" t="s">
        <v>42</v>
      </c>
      <c r="B28" s="9"/>
      <c r="C28" s="9"/>
      <c r="D28" s="32"/>
      <c r="E28" s="32"/>
      <c r="F28" s="32"/>
      <c r="G28" s="32"/>
      <c r="H28" s="32"/>
      <c r="I28" s="32"/>
      <c r="J28" s="32"/>
      <c r="K28" s="32"/>
      <c r="L28" s="32"/>
      <c r="M28" s="32"/>
      <c r="N28" s="32"/>
      <c r="O28" s="32"/>
    </row>
    <row r="29" spans="1:15" x14ac:dyDescent="0.15">
      <c r="A29" s="30" t="s">
        <v>43</v>
      </c>
      <c r="B29" s="9"/>
      <c r="C29" s="9"/>
      <c r="D29" s="32"/>
      <c r="E29" s="32"/>
      <c r="F29" s="32"/>
      <c r="G29" s="32"/>
      <c r="H29" s="32"/>
      <c r="I29" s="32"/>
      <c r="J29" s="32"/>
      <c r="K29" s="32"/>
      <c r="L29" s="32"/>
      <c r="M29" s="32"/>
      <c r="N29" s="32"/>
      <c r="O29" s="32"/>
    </row>
    <row r="30" spans="1:15" x14ac:dyDescent="0.15">
      <c r="A30" s="30" t="s">
        <v>44</v>
      </c>
      <c r="B30" s="9"/>
      <c r="C30" s="9"/>
      <c r="D30" s="32"/>
      <c r="E30" s="32"/>
      <c r="F30" s="32"/>
      <c r="G30" s="32"/>
      <c r="H30" s="32"/>
      <c r="I30" s="32"/>
      <c r="J30" s="32"/>
      <c r="K30" s="32"/>
      <c r="L30" s="32"/>
      <c r="M30" s="32"/>
      <c r="N30" s="32"/>
      <c r="O30" s="32"/>
    </row>
    <row r="31" spans="1:15" x14ac:dyDescent="0.15">
      <c r="A31" s="30" t="s">
        <v>45</v>
      </c>
      <c r="B31" s="9"/>
      <c r="C31" s="9"/>
      <c r="D31" s="32"/>
      <c r="E31" s="32"/>
      <c r="F31" s="32"/>
      <c r="G31" s="32"/>
      <c r="H31" s="32"/>
      <c r="I31" s="32"/>
      <c r="J31" s="32"/>
      <c r="K31" s="32"/>
      <c r="L31" s="32"/>
      <c r="M31" s="32"/>
      <c r="N31" s="32"/>
      <c r="O31" s="32"/>
    </row>
    <row r="32" spans="1:15" x14ac:dyDescent="0.15">
      <c r="A32" s="30" t="s">
        <v>46</v>
      </c>
      <c r="B32" s="9"/>
      <c r="C32" s="9"/>
      <c r="D32" s="32"/>
      <c r="E32" s="32"/>
      <c r="F32" s="32"/>
      <c r="G32" s="32"/>
      <c r="H32" s="32"/>
      <c r="I32" s="32"/>
      <c r="J32" s="32"/>
      <c r="K32" s="32"/>
      <c r="L32" s="32"/>
      <c r="M32" s="32"/>
      <c r="N32" s="32"/>
      <c r="O32" s="32"/>
    </row>
    <row r="33" spans="1:15" x14ac:dyDescent="0.15">
      <c r="A33" s="30" t="s">
        <v>47</v>
      </c>
      <c r="B33" s="9"/>
      <c r="C33" s="9"/>
      <c r="D33" s="32"/>
      <c r="E33" s="32"/>
      <c r="F33" s="32"/>
      <c r="G33" s="32"/>
      <c r="H33" s="32"/>
      <c r="I33" s="32"/>
      <c r="J33" s="32"/>
      <c r="K33" s="32"/>
      <c r="L33" s="32"/>
      <c r="M33" s="32"/>
      <c r="N33" s="32"/>
      <c r="O33" s="32"/>
    </row>
    <row r="34" spans="1:15" x14ac:dyDescent="0.15">
      <c r="A34" s="30" t="s">
        <v>48</v>
      </c>
      <c r="B34" s="9"/>
      <c r="C34" s="9"/>
      <c r="D34" s="32"/>
      <c r="E34" s="32"/>
      <c r="F34" s="32"/>
      <c r="G34" s="32"/>
      <c r="H34" s="32"/>
      <c r="I34" s="32"/>
      <c r="J34" s="32"/>
      <c r="K34" s="32"/>
      <c r="L34" s="32"/>
      <c r="M34" s="32"/>
      <c r="N34" s="32"/>
      <c r="O34" s="32"/>
    </row>
    <row r="35" spans="1:15" x14ac:dyDescent="0.15">
      <c r="A35" s="30" t="s">
        <v>49</v>
      </c>
      <c r="B35" s="9"/>
      <c r="C35" s="9"/>
      <c r="D35" s="32"/>
      <c r="E35" s="32"/>
      <c r="F35" s="32"/>
      <c r="G35" s="32"/>
      <c r="H35" s="32"/>
      <c r="I35" s="32"/>
      <c r="J35" s="32"/>
      <c r="K35" s="32"/>
      <c r="L35" s="32"/>
      <c r="M35" s="32"/>
      <c r="N35" s="32"/>
      <c r="O35" s="32"/>
    </row>
    <row r="36" spans="1:15" x14ac:dyDescent="0.15">
      <c r="A36" s="30" t="s">
        <v>50</v>
      </c>
      <c r="B36" s="9"/>
      <c r="C36" s="9"/>
      <c r="D36" s="32"/>
      <c r="E36" s="32"/>
      <c r="F36" s="32"/>
      <c r="G36" s="32"/>
      <c r="H36" s="32"/>
      <c r="I36" s="32"/>
      <c r="J36" s="32"/>
      <c r="K36" s="32"/>
      <c r="L36" s="32"/>
      <c r="M36" s="32"/>
      <c r="N36" s="32"/>
      <c r="O36" s="32"/>
    </row>
    <row r="37" spans="1:15" x14ac:dyDescent="0.15">
      <c r="A37" s="30" t="s">
        <v>51</v>
      </c>
      <c r="B37" s="9"/>
      <c r="C37" s="9"/>
      <c r="D37" s="32"/>
      <c r="E37" s="32"/>
      <c r="F37" s="32"/>
      <c r="G37" s="32"/>
      <c r="H37" s="32"/>
      <c r="I37" s="32"/>
      <c r="J37" s="32"/>
      <c r="K37" s="32"/>
      <c r="L37" s="32"/>
      <c r="M37" s="32"/>
      <c r="N37" s="32"/>
      <c r="O37" s="32"/>
    </row>
    <row r="38" spans="1:15" x14ac:dyDescent="0.15">
      <c r="A38" s="30" t="s">
        <v>52</v>
      </c>
      <c r="B38" s="9"/>
      <c r="C38" s="9"/>
      <c r="D38" s="32"/>
      <c r="E38" s="32"/>
      <c r="F38" s="32"/>
      <c r="G38" s="32"/>
      <c r="H38" s="32"/>
      <c r="I38" s="32"/>
      <c r="J38" s="32"/>
      <c r="K38" s="32"/>
      <c r="L38" s="32"/>
      <c r="M38" s="32"/>
      <c r="N38" s="32"/>
      <c r="O38" s="32"/>
    </row>
    <row r="39" spans="1:15" x14ac:dyDescent="0.15">
      <c r="A39" s="30" t="s">
        <v>53</v>
      </c>
      <c r="B39" s="9"/>
      <c r="C39" s="9"/>
      <c r="D39" s="32"/>
      <c r="E39" s="32"/>
      <c r="F39" s="32"/>
      <c r="G39" s="32"/>
      <c r="H39" s="32"/>
      <c r="I39" s="32"/>
      <c r="J39" s="32"/>
      <c r="K39" s="32"/>
      <c r="L39" s="32"/>
      <c r="M39" s="32"/>
      <c r="N39" s="32"/>
      <c r="O39" s="32"/>
    </row>
    <row r="40" spans="1:15" x14ac:dyDescent="0.15">
      <c r="A40" s="30" t="s">
        <v>54</v>
      </c>
      <c r="B40" s="9"/>
      <c r="C40" s="9"/>
      <c r="D40" s="32"/>
      <c r="E40" s="32"/>
      <c r="F40" s="32"/>
      <c r="G40" s="32"/>
      <c r="H40" s="32"/>
      <c r="I40" s="32"/>
      <c r="J40" s="32"/>
      <c r="K40" s="32"/>
      <c r="L40" s="32"/>
      <c r="M40" s="32"/>
      <c r="N40" s="32"/>
      <c r="O40" s="32"/>
    </row>
    <row r="41" spans="1:15" x14ac:dyDescent="0.15">
      <c r="A41" s="30" t="s">
        <v>55</v>
      </c>
      <c r="B41" s="9"/>
      <c r="C41" s="9"/>
      <c r="D41" s="32"/>
      <c r="E41" s="32"/>
      <c r="F41" s="32"/>
      <c r="G41" s="32"/>
      <c r="H41" s="32"/>
      <c r="I41" s="32"/>
      <c r="J41" s="32"/>
      <c r="K41" s="32"/>
      <c r="L41" s="32"/>
      <c r="M41" s="32"/>
      <c r="N41" s="32"/>
      <c r="O41" s="32"/>
    </row>
  </sheetData>
  <mergeCells count="35">
    <mergeCell ref="D12:O12"/>
    <mergeCell ref="D7:O7"/>
    <mergeCell ref="D8:O8"/>
    <mergeCell ref="D9:O9"/>
    <mergeCell ref="D10:O10"/>
    <mergeCell ref="D11:O11"/>
    <mergeCell ref="D24:O24"/>
    <mergeCell ref="D13:O13"/>
    <mergeCell ref="D14:O14"/>
    <mergeCell ref="D15:O15"/>
    <mergeCell ref="D16:O16"/>
    <mergeCell ref="D17:O17"/>
    <mergeCell ref="D18:O18"/>
    <mergeCell ref="D19:O19"/>
    <mergeCell ref="D20:O20"/>
    <mergeCell ref="D21:O21"/>
    <mergeCell ref="D22:O22"/>
    <mergeCell ref="D23:O23"/>
    <mergeCell ref="D36:O36"/>
    <mergeCell ref="D25:O25"/>
    <mergeCell ref="D26:O26"/>
    <mergeCell ref="D27:O27"/>
    <mergeCell ref="D28:O28"/>
    <mergeCell ref="D29:O29"/>
    <mergeCell ref="D30:O30"/>
    <mergeCell ref="D31:O31"/>
    <mergeCell ref="D32:O32"/>
    <mergeCell ref="D33:O33"/>
    <mergeCell ref="D34:O34"/>
    <mergeCell ref="D35:O35"/>
    <mergeCell ref="D37:O37"/>
    <mergeCell ref="D38:O38"/>
    <mergeCell ref="D39:O39"/>
    <mergeCell ref="D40:O40"/>
    <mergeCell ref="D41:O41"/>
  </mergeCells>
  <phoneticPr fontId="1"/>
  <pageMargins left="0.7" right="0.7" top="0.75" bottom="0.75" header="0.3" footer="0.3"/>
  <pageSetup paperSize="9" orientation="portrait"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B915-2A55-439E-A785-640F35881038}">
  <sheetPr codeName="Sheet4" filterMode="1"/>
  <dimension ref="A1:J750"/>
  <sheetViews>
    <sheetView zoomScaleNormal="100" workbookViewId="0">
      <pane ySplit="1" topLeftCell="A685" activePane="bottomLeft" state="frozen"/>
      <selection pane="bottomLeft" activeCell="N648" sqref="N648"/>
    </sheetView>
  </sheetViews>
  <sheetFormatPr defaultRowHeight="20.100000000000001" customHeight="1" x14ac:dyDescent="0.15"/>
  <cols>
    <col min="2" max="2" width="41.125" bestFit="1" customWidth="1"/>
    <col min="3" max="3" width="52.125" customWidth="1"/>
    <col min="8" max="8" width="14.875" customWidth="1"/>
    <col min="9" max="9" width="16.5" bestFit="1" customWidth="1"/>
  </cols>
  <sheetData>
    <row r="1" spans="1:9" ht="20.100000000000001" customHeight="1" x14ac:dyDescent="0.15">
      <c r="A1" t="s">
        <v>56</v>
      </c>
      <c r="B1" t="s">
        <v>57</v>
      </c>
      <c r="C1" t="s">
        <v>58</v>
      </c>
      <c r="D1" t="s">
        <v>59</v>
      </c>
      <c r="E1" t="s">
        <v>60</v>
      </c>
      <c r="F1" t="s">
        <v>61</v>
      </c>
      <c r="G1" t="s">
        <v>62</v>
      </c>
      <c r="H1" t="s">
        <v>63</v>
      </c>
      <c r="I1" t="s">
        <v>64</v>
      </c>
    </row>
    <row r="2" spans="1:9" ht="20.100000000000001" hidden="1" customHeight="1" x14ac:dyDescent="0.15">
      <c r="A2">
        <v>15000</v>
      </c>
      <c r="B2" t="s">
        <v>65</v>
      </c>
      <c r="C2" t="s">
        <v>66</v>
      </c>
      <c r="D2">
        <v>1</v>
      </c>
      <c r="E2">
        <v>500</v>
      </c>
      <c r="F2">
        <v>1</v>
      </c>
      <c r="G2">
        <v>1</v>
      </c>
      <c r="H2" t="s">
        <v>67</v>
      </c>
    </row>
    <row r="3" spans="1:9" ht="20.100000000000001" hidden="1" customHeight="1" x14ac:dyDescent="0.15">
      <c r="A3">
        <v>15001</v>
      </c>
      <c r="B3" t="s">
        <v>68</v>
      </c>
      <c r="C3" t="s">
        <v>69</v>
      </c>
      <c r="D3">
        <v>0</v>
      </c>
      <c r="E3" t="s">
        <v>70</v>
      </c>
      <c r="F3">
        <v>0</v>
      </c>
      <c r="G3">
        <v>1</v>
      </c>
      <c r="H3" t="s">
        <v>71</v>
      </c>
    </row>
    <row r="4" spans="1:9" ht="20.100000000000001" hidden="1" customHeight="1" x14ac:dyDescent="0.15">
      <c r="A4">
        <v>15002</v>
      </c>
      <c r="B4" t="s">
        <v>72</v>
      </c>
      <c r="C4" t="s">
        <v>73</v>
      </c>
      <c r="D4">
        <v>0</v>
      </c>
      <c r="E4" t="s">
        <v>70</v>
      </c>
      <c r="F4">
        <v>0</v>
      </c>
      <c r="G4">
        <v>1</v>
      </c>
      <c r="H4" t="s">
        <v>74</v>
      </c>
    </row>
    <row r="5" spans="1:9" ht="20.100000000000001" hidden="1" customHeight="1" x14ac:dyDescent="0.15">
      <c r="A5">
        <v>15003</v>
      </c>
      <c r="B5" t="s">
        <v>75</v>
      </c>
      <c r="C5" t="s">
        <v>73</v>
      </c>
      <c r="D5">
        <v>0</v>
      </c>
      <c r="E5" t="s">
        <v>70</v>
      </c>
      <c r="F5">
        <v>0</v>
      </c>
      <c r="G5">
        <v>1</v>
      </c>
      <c r="H5" t="s">
        <v>74</v>
      </c>
    </row>
    <row r="6" spans="1:9" ht="20.100000000000001" hidden="1" customHeight="1" x14ac:dyDescent="0.15">
      <c r="A6">
        <v>15004</v>
      </c>
      <c r="B6" t="s">
        <v>76</v>
      </c>
      <c r="C6" t="s">
        <v>73</v>
      </c>
      <c r="D6">
        <v>0</v>
      </c>
      <c r="E6" t="s">
        <v>70</v>
      </c>
      <c r="F6">
        <v>0</v>
      </c>
      <c r="G6">
        <v>1</v>
      </c>
      <c r="H6" t="s">
        <v>74</v>
      </c>
    </row>
    <row r="7" spans="1:9" ht="20.100000000000001" hidden="1" customHeight="1" x14ac:dyDescent="0.15">
      <c r="A7">
        <v>15005</v>
      </c>
      <c r="B7" t="s">
        <v>77</v>
      </c>
      <c r="C7" t="s">
        <v>73</v>
      </c>
      <c r="D7">
        <v>0</v>
      </c>
      <c r="E7" t="s">
        <v>70</v>
      </c>
      <c r="F7">
        <v>0</v>
      </c>
      <c r="G7">
        <v>1</v>
      </c>
      <c r="H7" t="s">
        <v>74</v>
      </c>
    </row>
    <row r="8" spans="1:9" ht="20.100000000000001" hidden="1" customHeight="1" x14ac:dyDescent="0.15">
      <c r="A8">
        <v>15006</v>
      </c>
      <c r="B8" t="s">
        <v>78</v>
      </c>
      <c r="C8" t="s">
        <v>73</v>
      </c>
      <c r="D8">
        <v>0</v>
      </c>
      <c r="E8" t="s">
        <v>70</v>
      </c>
      <c r="F8">
        <v>0</v>
      </c>
      <c r="G8">
        <v>1</v>
      </c>
      <c r="H8" t="s">
        <v>74</v>
      </c>
    </row>
    <row r="9" spans="1:9" ht="20.100000000000001" hidden="1" customHeight="1" x14ac:dyDescent="0.15">
      <c r="A9">
        <v>15007</v>
      </c>
      <c r="B9" t="s">
        <v>79</v>
      </c>
      <c r="C9" t="s">
        <v>73</v>
      </c>
      <c r="D9">
        <v>0</v>
      </c>
      <c r="E9" t="s">
        <v>70</v>
      </c>
      <c r="F9">
        <v>0</v>
      </c>
      <c r="G9">
        <v>1</v>
      </c>
      <c r="H9" t="s">
        <v>74</v>
      </c>
    </row>
    <row r="10" spans="1:9" ht="20.100000000000001" hidden="1" customHeight="1" x14ac:dyDescent="0.15">
      <c r="A10">
        <v>15008</v>
      </c>
      <c r="B10" t="s">
        <v>80</v>
      </c>
      <c r="C10" t="s">
        <v>73</v>
      </c>
      <c r="D10">
        <v>0</v>
      </c>
      <c r="E10" t="s">
        <v>70</v>
      </c>
      <c r="F10">
        <v>0</v>
      </c>
      <c r="G10">
        <v>1</v>
      </c>
      <c r="H10" t="s">
        <v>74</v>
      </c>
    </row>
    <row r="11" spans="1:9" ht="20.100000000000001" hidden="1" customHeight="1" x14ac:dyDescent="0.15">
      <c r="A11">
        <v>15009</v>
      </c>
      <c r="B11" t="s">
        <v>81</v>
      </c>
      <c r="C11" t="s">
        <v>73</v>
      </c>
      <c r="D11">
        <v>0</v>
      </c>
      <c r="E11" t="s">
        <v>70</v>
      </c>
      <c r="F11">
        <v>0</v>
      </c>
      <c r="G11">
        <v>1</v>
      </c>
      <c r="H11" t="s">
        <v>74</v>
      </c>
    </row>
    <row r="12" spans="1:9" ht="20.100000000000001" hidden="1" customHeight="1" x14ac:dyDescent="0.15">
      <c r="A12">
        <v>15010</v>
      </c>
      <c r="B12" t="s">
        <v>82</v>
      </c>
      <c r="C12" t="s">
        <v>73</v>
      </c>
      <c r="D12">
        <v>0</v>
      </c>
      <c r="E12" t="s">
        <v>70</v>
      </c>
      <c r="F12">
        <v>0</v>
      </c>
      <c r="G12">
        <v>1</v>
      </c>
      <c r="H12" t="s">
        <v>74</v>
      </c>
    </row>
    <row r="13" spans="1:9" ht="20.100000000000001" hidden="1" customHeight="1" x14ac:dyDescent="0.15">
      <c r="A13">
        <v>15011</v>
      </c>
      <c r="B13" t="s">
        <v>83</v>
      </c>
      <c r="C13" t="s">
        <v>73</v>
      </c>
      <c r="D13">
        <v>0</v>
      </c>
      <c r="E13" t="s">
        <v>70</v>
      </c>
      <c r="F13">
        <v>0</v>
      </c>
      <c r="G13">
        <v>1</v>
      </c>
      <c r="H13" t="s">
        <v>74</v>
      </c>
    </row>
    <row r="14" spans="1:9" ht="20.100000000000001" hidden="1" customHeight="1" x14ac:dyDescent="0.15">
      <c r="A14">
        <v>15012</v>
      </c>
      <c r="B14" t="s">
        <v>84</v>
      </c>
      <c r="C14" t="s">
        <v>73</v>
      </c>
      <c r="D14">
        <v>0</v>
      </c>
      <c r="E14" t="s">
        <v>70</v>
      </c>
      <c r="F14">
        <v>0</v>
      </c>
      <c r="G14">
        <v>1</v>
      </c>
      <c r="H14" t="s">
        <v>74</v>
      </c>
    </row>
    <row r="15" spans="1:9" ht="20.100000000000001" hidden="1" customHeight="1" x14ac:dyDescent="0.15">
      <c r="A15">
        <v>15013</v>
      </c>
      <c r="B15" t="s">
        <v>85</v>
      </c>
      <c r="C15" t="s">
        <v>73</v>
      </c>
      <c r="D15">
        <v>0</v>
      </c>
      <c r="E15" t="s">
        <v>70</v>
      </c>
      <c r="F15">
        <v>0</v>
      </c>
      <c r="G15">
        <v>1</v>
      </c>
      <c r="H15" t="s">
        <v>74</v>
      </c>
    </row>
    <row r="16" spans="1:9" ht="20.100000000000001" hidden="1" customHeight="1" x14ac:dyDescent="0.15">
      <c r="A16">
        <v>15014</v>
      </c>
      <c r="B16" t="s">
        <v>86</v>
      </c>
      <c r="C16" t="s">
        <v>73</v>
      </c>
      <c r="D16">
        <v>0</v>
      </c>
      <c r="E16" t="s">
        <v>70</v>
      </c>
      <c r="F16">
        <v>0</v>
      </c>
      <c r="G16">
        <v>1</v>
      </c>
      <c r="H16" t="s">
        <v>74</v>
      </c>
    </row>
    <row r="17" spans="1:8" ht="20.100000000000001" hidden="1" customHeight="1" x14ac:dyDescent="0.15">
      <c r="A17">
        <v>15015</v>
      </c>
      <c r="B17" t="s">
        <v>87</v>
      </c>
      <c r="C17" t="s">
        <v>73</v>
      </c>
      <c r="D17">
        <v>0</v>
      </c>
      <c r="E17" t="s">
        <v>70</v>
      </c>
      <c r="F17">
        <v>0</v>
      </c>
      <c r="G17">
        <v>1</v>
      </c>
      <c r="H17" t="s">
        <v>74</v>
      </c>
    </row>
    <row r="18" spans="1:8" ht="20.100000000000001" hidden="1" customHeight="1" x14ac:dyDescent="0.15">
      <c r="A18">
        <v>15016</v>
      </c>
      <c r="B18" t="s">
        <v>88</v>
      </c>
      <c r="C18" t="s">
        <v>73</v>
      </c>
      <c r="D18">
        <v>0</v>
      </c>
      <c r="E18" t="s">
        <v>70</v>
      </c>
      <c r="F18">
        <v>0</v>
      </c>
      <c r="G18">
        <v>1</v>
      </c>
      <c r="H18" t="s">
        <v>74</v>
      </c>
    </row>
    <row r="19" spans="1:8" ht="20.100000000000001" hidden="1" customHeight="1" x14ac:dyDescent="0.15">
      <c r="A19">
        <v>15017</v>
      </c>
      <c r="B19" t="s">
        <v>89</v>
      </c>
      <c r="C19" t="s">
        <v>73</v>
      </c>
      <c r="D19">
        <v>0</v>
      </c>
      <c r="E19" t="s">
        <v>70</v>
      </c>
      <c r="F19">
        <v>0</v>
      </c>
      <c r="G19">
        <v>1</v>
      </c>
      <c r="H19" t="s">
        <v>74</v>
      </c>
    </row>
    <row r="20" spans="1:8" ht="20.100000000000001" hidden="1" customHeight="1" x14ac:dyDescent="0.15">
      <c r="A20">
        <v>15018</v>
      </c>
      <c r="B20" t="s">
        <v>90</v>
      </c>
      <c r="C20" t="s">
        <v>73</v>
      </c>
      <c r="D20">
        <v>0</v>
      </c>
      <c r="E20" t="s">
        <v>70</v>
      </c>
      <c r="F20">
        <v>0</v>
      </c>
      <c r="G20">
        <v>1</v>
      </c>
      <c r="H20" t="s">
        <v>74</v>
      </c>
    </row>
    <row r="21" spans="1:8" ht="20.100000000000001" hidden="1" customHeight="1" x14ac:dyDescent="0.15">
      <c r="A21">
        <v>15019</v>
      </c>
      <c r="B21" t="s">
        <v>91</v>
      </c>
      <c r="C21" t="s">
        <v>73</v>
      </c>
      <c r="D21">
        <v>0</v>
      </c>
      <c r="E21" t="s">
        <v>70</v>
      </c>
      <c r="F21">
        <v>0</v>
      </c>
      <c r="G21">
        <v>1</v>
      </c>
      <c r="H21" t="s">
        <v>74</v>
      </c>
    </row>
    <row r="22" spans="1:8" ht="20.100000000000001" hidden="1" customHeight="1" x14ac:dyDescent="0.15">
      <c r="A22">
        <v>15020</v>
      </c>
      <c r="B22" t="s">
        <v>92</v>
      </c>
      <c r="C22" t="s">
        <v>73</v>
      </c>
      <c r="D22">
        <v>0</v>
      </c>
      <c r="E22" t="s">
        <v>70</v>
      </c>
      <c r="F22">
        <v>0</v>
      </c>
      <c r="G22">
        <v>1</v>
      </c>
      <c r="H22" t="s">
        <v>74</v>
      </c>
    </row>
    <row r="23" spans="1:8" ht="20.100000000000001" hidden="1" customHeight="1" x14ac:dyDescent="0.15">
      <c r="A23">
        <v>15021</v>
      </c>
      <c r="B23" t="s">
        <v>93</v>
      </c>
      <c r="C23" t="s">
        <v>73</v>
      </c>
      <c r="D23">
        <v>0</v>
      </c>
      <c r="E23" t="s">
        <v>70</v>
      </c>
      <c r="F23">
        <v>0</v>
      </c>
      <c r="G23">
        <v>1</v>
      </c>
      <c r="H23" t="s">
        <v>74</v>
      </c>
    </row>
    <row r="24" spans="1:8" ht="20.100000000000001" hidden="1" customHeight="1" x14ac:dyDescent="0.15">
      <c r="A24">
        <v>15022</v>
      </c>
      <c r="B24" t="s">
        <v>94</v>
      </c>
      <c r="C24" t="s">
        <v>73</v>
      </c>
      <c r="D24">
        <v>0</v>
      </c>
      <c r="E24" t="s">
        <v>70</v>
      </c>
      <c r="F24">
        <v>0</v>
      </c>
      <c r="G24">
        <v>1</v>
      </c>
      <c r="H24" t="s">
        <v>74</v>
      </c>
    </row>
    <row r="25" spans="1:8" ht="20.100000000000001" hidden="1" customHeight="1" x14ac:dyDescent="0.15">
      <c r="A25">
        <v>15023</v>
      </c>
      <c r="B25" t="s">
        <v>95</v>
      </c>
      <c r="C25" t="s">
        <v>73</v>
      </c>
      <c r="D25">
        <v>0</v>
      </c>
      <c r="E25" t="s">
        <v>70</v>
      </c>
      <c r="F25">
        <v>0</v>
      </c>
      <c r="G25">
        <v>1</v>
      </c>
      <c r="H25" t="s">
        <v>74</v>
      </c>
    </row>
    <row r="26" spans="1:8" ht="20.100000000000001" hidden="1" customHeight="1" x14ac:dyDescent="0.15">
      <c r="A26">
        <v>15024</v>
      </c>
      <c r="B26" t="s">
        <v>96</v>
      </c>
      <c r="C26" t="s">
        <v>73</v>
      </c>
      <c r="D26">
        <v>0</v>
      </c>
      <c r="E26" t="s">
        <v>70</v>
      </c>
      <c r="F26">
        <v>0</v>
      </c>
      <c r="G26">
        <v>1</v>
      </c>
      <c r="H26" t="s">
        <v>74</v>
      </c>
    </row>
    <row r="27" spans="1:8" ht="20.100000000000001" hidden="1" customHeight="1" x14ac:dyDescent="0.15">
      <c r="A27">
        <v>15025</v>
      </c>
      <c r="B27" t="s">
        <v>97</v>
      </c>
      <c r="C27" t="s">
        <v>73</v>
      </c>
      <c r="D27">
        <v>0</v>
      </c>
      <c r="E27" t="s">
        <v>70</v>
      </c>
      <c r="F27">
        <v>0</v>
      </c>
      <c r="G27">
        <v>1</v>
      </c>
      <c r="H27" t="s">
        <v>98</v>
      </c>
    </row>
    <row r="28" spans="1:8" ht="20.100000000000001" hidden="1" customHeight="1" x14ac:dyDescent="0.15">
      <c r="A28">
        <v>15026</v>
      </c>
      <c r="B28" t="s">
        <v>99</v>
      </c>
      <c r="C28" t="s">
        <v>100</v>
      </c>
      <c r="D28">
        <v>0</v>
      </c>
      <c r="E28" t="s">
        <v>70</v>
      </c>
      <c r="F28">
        <v>0</v>
      </c>
      <c r="G28">
        <v>0</v>
      </c>
      <c r="H28" t="s">
        <v>101</v>
      </c>
    </row>
    <row r="29" spans="1:8" ht="20.100000000000001" hidden="1" customHeight="1" x14ac:dyDescent="0.15">
      <c r="A29">
        <v>15027</v>
      </c>
      <c r="B29" t="s">
        <v>102</v>
      </c>
      <c r="C29" t="s">
        <v>103</v>
      </c>
      <c r="D29">
        <v>0</v>
      </c>
      <c r="E29" t="s">
        <v>70</v>
      </c>
      <c r="F29">
        <v>0</v>
      </c>
      <c r="G29">
        <v>0</v>
      </c>
      <c r="H29" t="s">
        <v>101</v>
      </c>
    </row>
    <row r="30" spans="1:8" ht="20.100000000000001" hidden="1" customHeight="1" x14ac:dyDescent="0.15">
      <c r="A30">
        <v>15028</v>
      </c>
      <c r="B30" t="s">
        <v>104</v>
      </c>
      <c r="C30" t="s">
        <v>105</v>
      </c>
      <c r="D30">
        <v>0</v>
      </c>
      <c r="E30" t="s">
        <v>70</v>
      </c>
      <c r="F30">
        <v>0</v>
      </c>
      <c r="G30">
        <v>0</v>
      </c>
      <c r="H30" t="s">
        <v>101</v>
      </c>
    </row>
    <row r="31" spans="1:8" ht="20.100000000000001" hidden="1" customHeight="1" x14ac:dyDescent="0.15">
      <c r="A31">
        <v>15029</v>
      </c>
      <c r="B31" t="s">
        <v>106</v>
      </c>
      <c r="C31" t="s">
        <v>107</v>
      </c>
      <c r="D31">
        <v>0</v>
      </c>
      <c r="E31" t="s">
        <v>70</v>
      </c>
      <c r="F31">
        <v>0</v>
      </c>
      <c r="G31">
        <v>0</v>
      </c>
      <c r="H31" t="s">
        <v>101</v>
      </c>
    </row>
    <row r="32" spans="1:8" ht="20.100000000000001" hidden="1" customHeight="1" x14ac:dyDescent="0.15">
      <c r="A32">
        <v>15030</v>
      </c>
      <c r="B32" t="s">
        <v>108</v>
      </c>
      <c r="C32" t="s">
        <v>109</v>
      </c>
      <c r="D32">
        <v>0</v>
      </c>
      <c r="E32" t="s">
        <v>70</v>
      </c>
      <c r="F32">
        <v>0</v>
      </c>
      <c r="G32">
        <v>0</v>
      </c>
      <c r="H32" t="s">
        <v>101</v>
      </c>
    </row>
    <row r="33" spans="1:8" ht="20.100000000000001" hidden="1" customHeight="1" x14ac:dyDescent="0.15">
      <c r="A33">
        <v>15031</v>
      </c>
      <c r="B33" t="s">
        <v>110</v>
      </c>
      <c r="C33" t="s">
        <v>111</v>
      </c>
      <c r="D33">
        <v>0</v>
      </c>
      <c r="E33" t="s">
        <v>70</v>
      </c>
      <c r="F33">
        <v>0</v>
      </c>
      <c r="G33">
        <v>0</v>
      </c>
      <c r="H33" t="s">
        <v>101</v>
      </c>
    </row>
    <row r="34" spans="1:8" ht="20.100000000000001" hidden="1" customHeight="1" x14ac:dyDescent="0.15">
      <c r="A34">
        <v>15032</v>
      </c>
      <c r="B34" t="s">
        <v>112</v>
      </c>
      <c r="C34" t="s">
        <v>113</v>
      </c>
      <c r="D34">
        <v>0</v>
      </c>
      <c r="E34">
        <v>200</v>
      </c>
      <c r="F34">
        <v>1</v>
      </c>
      <c r="G34">
        <v>0</v>
      </c>
      <c r="H34" t="s">
        <v>114</v>
      </c>
    </row>
    <row r="35" spans="1:8" ht="20.100000000000001" hidden="1" customHeight="1" x14ac:dyDescent="0.15">
      <c r="A35">
        <v>15033</v>
      </c>
      <c r="B35" t="s">
        <v>115</v>
      </c>
      <c r="C35" t="s">
        <v>116</v>
      </c>
      <c r="D35">
        <v>0</v>
      </c>
      <c r="E35">
        <v>200</v>
      </c>
      <c r="F35">
        <v>1</v>
      </c>
      <c r="G35">
        <v>0</v>
      </c>
      <c r="H35" t="s">
        <v>114</v>
      </c>
    </row>
    <row r="36" spans="1:8" ht="20.100000000000001" hidden="1" customHeight="1" x14ac:dyDescent="0.15">
      <c r="A36">
        <v>15034</v>
      </c>
      <c r="B36" t="s">
        <v>117</v>
      </c>
      <c r="C36" t="s">
        <v>118</v>
      </c>
      <c r="D36">
        <v>0</v>
      </c>
      <c r="E36">
        <v>200</v>
      </c>
      <c r="F36">
        <v>1</v>
      </c>
      <c r="G36">
        <v>0</v>
      </c>
      <c r="H36" t="s">
        <v>114</v>
      </c>
    </row>
    <row r="37" spans="1:8" ht="20.100000000000001" hidden="1" customHeight="1" x14ac:dyDescent="0.15">
      <c r="A37">
        <v>15035</v>
      </c>
      <c r="B37" t="s">
        <v>119</v>
      </c>
      <c r="C37" t="s">
        <v>120</v>
      </c>
      <c r="D37">
        <v>0</v>
      </c>
      <c r="E37">
        <v>200</v>
      </c>
      <c r="F37">
        <v>1</v>
      </c>
      <c r="G37">
        <v>0</v>
      </c>
      <c r="H37" t="s">
        <v>114</v>
      </c>
    </row>
    <row r="38" spans="1:8" ht="20.100000000000001" hidden="1" customHeight="1" x14ac:dyDescent="0.15">
      <c r="A38">
        <v>15036</v>
      </c>
      <c r="B38" t="s">
        <v>121</v>
      </c>
      <c r="C38" t="s">
        <v>122</v>
      </c>
      <c r="D38">
        <v>0</v>
      </c>
      <c r="E38">
        <v>200</v>
      </c>
      <c r="F38">
        <v>1</v>
      </c>
      <c r="G38">
        <v>0</v>
      </c>
      <c r="H38" t="s">
        <v>114</v>
      </c>
    </row>
    <row r="39" spans="1:8" ht="20.100000000000001" hidden="1" customHeight="1" x14ac:dyDescent="0.15">
      <c r="A39">
        <v>15037</v>
      </c>
      <c r="B39" t="s">
        <v>123</v>
      </c>
      <c r="C39" t="s">
        <v>124</v>
      </c>
      <c r="D39">
        <v>0</v>
      </c>
      <c r="E39">
        <v>999</v>
      </c>
      <c r="F39">
        <v>0</v>
      </c>
      <c r="G39">
        <v>0</v>
      </c>
      <c r="H39" t="s">
        <v>114</v>
      </c>
    </row>
    <row r="40" spans="1:8" ht="20.100000000000001" hidden="1" customHeight="1" x14ac:dyDescent="0.15">
      <c r="A40">
        <v>15038</v>
      </c>
      <c r="B40" t="s">
        <v>125</v>
      </c>
      <c r="C40" t="s">
        <v>126</v>
      </c>
      <c r="D40">
        <v>0</v>
      </c>
      <c r="E40">
        <v>127</v>
      </c>
      <c r="F40">
        <v>0</v>
      </c>
      <c r="G40">
        <v>0</v>
      </c>
      <c r="H40" t="s">
        <v>114</v>
      </c>
    </row>
    <row r="41" spans="1:8" ht="20.100000000000001" hidden="1" customHeight="1" x14ac:dyDescent="0.15">
      <c r="A41">
        <v>15039</v>
      </c>
      <c r="B41" t="s">
        <v>127</v>
      </c>
      <c r="C41" t="s">
        <v>128</v>
      </c>
      <c r="D41">
        <v>0</v>
      </c>
      <c r="E41">
        <v>99</v>
      </c>
      <c r="F41">
        <v>0</v>
      </c>
      <c r="G41">
        <v>0</v>
      </c>
      <c r="H41" t="s">
        <v>129</v>
      </c>
    </row>
    <row r="42" spans="1:8" ht="20.100000000000001" hidden="1" customHeight="1" x14ac:dyDescent="0.15">
      <c r="A42">
        <v>15040</v>
      </c>
      <c r="B42" t="s">
        <v>130</v>
      </c>
      <c r="C42" t="s">
        <v>131</v>
      </c>
      <c r="D42">
        <v>0</v>
      </c>
      <c r="E42" t="s">
        <v>70</v>
      </c>
      <c r="F42">
        <v>0</v>
      </c>
      <c r="G42">
        <v>0</v>
      </c>
      <c r="H42" t="s">
        <v>114</v>
      </c>
    </row>
    <row r="43" spans="1:8" ht="20.100000000000001" hidden="1" customHeight="1" x14ac:dyDescent="0.15">
      <c r="A43">
        <v>15041</v>
      </c>
      <c r="B43" t="s">
        <v>132</v>
      </c>
      <c r="C43" t="s">
        <v>131</v>
      </c>
      <c r="D43">
        <v>0</v>
      </c>
      <c r="E43" t="s">
        <v>70</v>
      </c>
      <c r="F43">
        <v>0</v>
      </c>
      <c r="G43">
        <v>0</v>
      </c>
      <c r="H43" t="s">
        <v>114</v>
      </c>
    </row>
    <row r="44" spans="1:8" ht="20.100000000000001" hidden="1" customHeight="1" x14ac:dyDescent="0.15">
      <c r="A44">
        <v>15042</v>
      </c>
      <c r="B44" t="s">
        <v>133</v>
      </c>
      <c r="C44" t="s">
        <v>131</v>
      </c>
      <c r="D44">
        <v>0</v>
      </c>
      <c r="E44" t="s">
        <v>70</v>
      </c>
      <c r="F44">
        <v>0</v>
      </c>
      <c r="G44">
        <v>0</v>
      </c>
      <c r="H44" t="s">
        <v>114</v>
      </c>
    </row>
    <row r="45" spans="1:8" ht="20.100000000000001" hidden="1" customHeight="1" x14ac:dyDescent="0.15">
      <c r="A45">
        <v>15043</v>
      </c>
      <c r="B45" t="s">
        <v>134</v>
      </c>
      <c r="C45" t="s">
        <v>131</v>
      </c>
      <c r="D45">
        <v>0</v>
      </c>
      <c r="E45" t="s">
        <v>70</v>
      </c>
      <c r="F45">
        <v>0</v>
      </c>
      <c r="G45">
        <v>0</v>
      </c>
      <c r="H45" t="s">
        <v>114</v>
      </c>
    </row>
    <row r="46" spans="1:8" ht="20.100000000000001" hidden="1" customHeight="1" x14ac:dyDescent="0.15">
      <c r="A46">
        <v>15044</v>
      </c>
      <c r="B46" t="s">
        <v>135</v>
      </c>
      <c r="C46" t="s">
        <v>131</v>
      </c>
      <c r="D46">
        <v>0</v>
      </c>
      <c r="E46" t="s">
        <v>70</v>
      </c>
      <c r="F46">
        <v>0</v>
      </c>
      <c r="G46">
        <v>0</v>
      </c>
      <c r="H46" t="s">
        <v>114</v>
      </c>
    </row>
    <row r="47" spans="1:8" ht="20.100000000000001" hidden="1" customHeight="1" x14ac:dyDescent="0.15">
      <c r="A47">
        <v>15045</v>
      </c>
      <c r="B47" t="s">
        <v>136</v>
      </c>
      <c r="C47" t="s">
        <v>131</v>
      </c>
      <c r="D47">
        <v>0</v>
      </c>
      <c r="E47" t="s">
        <v>70</v>
      </c>
      <c r="F47">
        <v>0</v>
      </c>
      <c r="G47">
        <v>0</v>
      </c>
      <c r="H47" t="s">
        <v>114</v>
      </c>
    </row>
    <row r="48" spans="1:8" ht="20.100000000000001" hidden="1" customHeight="1" x14ac:dyDescent="0.15">
      <c r="A48">
        <v>15046</v>
      </c>
      <c r="B48" t="s">
        <v>137</v>
      </c>
      <c r="C48" t="s">
        <v>138</v>
      </c>
      <c r="D48">
        <v>0</v>
      </c>
      <c r="E48" t="s">
        <v>70</v>
      </c>
      <c r="F48">
        <v>0</v>
      </c>
      <c r="G48">
        <v>0</v>
      </c>
      <c r="H48" t="s">
        <v>129</v>
      </c>
    </row>
    <row r="49" spans="1:9" ht="20.100000000000001" hidden="1" customHeight="1" x14ac:dyDescent="0.15">
      <c r="A49">
        <v>15047</v>
      </c>
      <c r="B49" t="s">
        <v>139</v>
      </c>
      <c r="C49" t="s">
        <v>140</v>
      </c>
      <c r="D49">
        <v>0</v>
      </c>
      <c r="E49" t="s">
        <v>70</v>
      </c>
      <c r="F49">
        <v>0</v>
      </c>
      <c r="G49">
        <v>0</v>
      </c>
      <c r="H49" t="s">
        <v>129</v>
      </c>
    </row>
    <row r="50" spans="1:9" ht="20.100000000000001" hidden="1" customHeight="1" x14ac:dyDescent="0.15">
      <c r="A50">
        <v>15048</v>
      </c>
      <c r="B50" t="s">
        <v>141</v>
      </c>
      <c r="C50" t="s">
        <v>142</v>
      </c>
      <c r="D50">
        <v>0</v>
      </c>
      <c r="E50" t="s">
        <v>70</v>
      </c>
      <c r="F50">
        <v>0</v>
      </c>
      <c r="G50">
        <v>0</v>
      </c>
      <c r="H50" t="s">
        <v>129</v>
      </c>
    </row>
    <row r="51" spans="1:9" ht="20.100000000000001" hidden="1" customHeight="1" x14ac:dyDescent="0.15">
      <c r="A51">
        <v>15049</v>
      </c>
      <c r="B51" t="s">
        <v>143</v>
      </c>
      <c r="C51" t="s">
        <v>144</v>
      </c>
      <c r="D51">
        <v>0</v>
      </c>
      <c r="E51" t="s">
        <v>70</v>
      </c>
      <c r="F51">
        <v>0</v>
      </c>
      <c r="G51">
        <v>0</v>
      </c>
      <c r="H51" t="s">
        <v>129</v>
      </c>
    </row>
    <row r="52" spans="1:9" ht="20.100000000000001" customHeight="1" x14ac:dyDescent="0.15">
      <c r="A52">
        <v>15050</v>
      </c>
      <c r="B52" t="s">
        <v>145</v>
      </c>
      <c r="C52" t="s">
        <v>146</v>
      </c>
      <c r="D52">
        <v>0</v>
      </c>
      <c r="E52">
        <v>200</v>
      </c>
      <c r="F52">
        <v>0</v>
      </c>
      <c r="G52">
        <v>1</v>
      </c>
      <c r="H52" t="s">
        <v>147</v>
      </c>
      <c r="I52">
        <v>130</v>
      </c>
    </row>
    <row r="53" spans="1:9" ht="20.100000000000001" customHeight="1" x14ac:dyDescent="0.15">
      <c r="A53">
        <v>15051</v>
      </c>
      <c r="B53" t="s">
        <v>148</v>
      </c>
      <c r="C53" t="s">
        <v>149</v>
      </c>
      <c r="D53">
        <v>0</v>
      </c>
      <c r="E53">
        <v>200</v>
      </c>
      <c r="F53">
        <v>0</v>
      </c>
      <c r="G53">
        <v>1</v>
      </c>
      <c r="H53" t="s">
        <v>147</v>
      </c>
      <c r="I53">
        <v>110</v>
      </c>
    </row>
    <row r="54" spans="1:9" ht="20.100000000000001" customHeight="1" x14ac:dyDescent="0.15">
      <c r="A54">
        <v>15052</v>
      </c>
      <c r="B54" t="s">
        <v>150</v>
      </c>
      <c r="C54" t="s">
        <v>151</v>
      </c>
      <c r="D54">
        <v>0</v>
      </c>
      <c r="E54">
        <v>200</v>
      </c>
      <c r="F54">
        <v>0</v>
      </c>
      <c r="G54">
        <v>1</v>
      </c>
      <c r="H54" t="s">
        <v>147</v>
      </c>
      <c r="I54">
        <v>130</v>
      </c>
    </row>
    <row r="55" spans="1:9" ht="20.100000000000001" customHeight="1" x14ac:dyDescent="0.15">
      <c r="A55">
        <v>15053</v>
      </c>
      <c r="B55" t="s">
        <v>152</v>
      </c>
      <c r="C55" t="s">
        <v>153</v>
      </c>
      <c r="D55">
        <v>0</v>
      </c>
      <c r="E55">
        <v>200</v>
      </c>
      <c r="F55">
        <v>0</v>
      </c>
      <c r="G55">
        <v>1</v>
      </c>
      <c r="H55" t="s">
        <v>147</v>
      </c>
      <c r="I55">
        <v>130</v>
      </c>
    </row>
    <row r="56" spans="1:9" ht="20.100000000000001" customHeight="1" x14ac:dyDescent="0.15">
      <c r="A56">
        <v>15054</v>
      </c>
      <c r="B56" t="s">
        <v>154</v>
      </c>
      <c r="C56" t="s">
        <v>155</v>
      </c>
      <c r="D56">
        <v>0</v>
      </c>
      <c r="E56">
        <v>200</v>
      </c>
      <c r="F56">
        <v>0</v>
      </c>
      <c r="G56">
        <v>1</v>
      </c>
      <c r="H56" t="s">
        <v>147</v>
      </c>
      <c r="I56">
        <v>130</v>
      </c>
    </row>
    <row r="57" spans="1:9" ht="20.100000000000001" customHeight="1" x14ac:dyDescent="0.15">
      <c r="A57">
        <v>15055</v>
      </c>
      <c r="B57" t="s">
        <v>156</v>
      </c>
      <c r="C57" t="s">
        <v>157</v>
      </c>
      <c r="D57">
        <v>0</v>
      </c>
      <c r="E57">
        <v>200</v>
      </c>
      <c r="F57">
        <v>0</v>
      </c>
      <c r="G57">
        <v>1</v>
      </c>
      <c r="H57" t="s">
        <v>147</v>
      </c>
      <c r="I57">
        <v>130</v>
      </c>
    </row>
    <row r="58" spans="1:9" ht="20.100000000000001" hidden="1" customHeight="1" x14ac:dyDescent="0.15">
      <c r="A58">
        <v>15056</v>
      </c>
      <c r="B58" t="s">
        <v>158</v>
      </c>
      <c r="C58" t="s">
        <v>159</v>
      </c>
      <c r="D58">
        <v>0</v>
      </c>
      <c r="E58">
        <v>1</v>
      </c>
      <c r="F58">
        <v>0</v>
      </c>
      <c r="G58">
        <v>0</v>
      </c>
      <c r="H58" t="s">
        <v>160</v>
      </c>
    </row>
    <row r="59" spans="1:9" ht="20.100000000000001" hidden="1" customHeight="1" x14ac:dyDescent="0.15">
      <c r="A59">
        <v>15057</v>
      </c>
      <c r="B59" t="s">
        <v>161</v>
      </c>
      <c r="C59" t="s">
        <v>162</v>
      </c>
      <c r="D59">
        <v>0</v>
      </c>
      <c r="E59">
        <v>100</v>
      </c>
      <c r="F59">
        <v>0</v>
      </c>
      <c r="G59">
        <v>0</v>
      </c>
      <c r="H59" t="s">
        <v>163</v>
      </c>
    </row>
    <row r="60" spans="1:9" ht="20.100000000000001" hidden="1" customHeight="1" x14ac:dyDescent="0.15">
      <c r="A60">
        <v>15058</v>
      </c>
      <c r="B60" t="s">
        <v>164</v>
      </c>
      <c r="C60" t="s">
        <v>165</v>
      </c>
      <c r="D60">
        <v>0</v>
      </c>
      <c r="E60">
        <v>200</v>
      </c>
      <c r="F60">
        <v>0</v>
      </c>
      <c r="G60">
        <v>1</v>
      </c>
      <c r="H60" t="s">
        <v>166</v>
      </c>
    </row>
    <row r="61" spans="1:9" ht="20.100000000000001" hidden="1" customHeight="1" x14ac:dyDescent="0.15">
      <c r="A61">
        <v>15059</v>
      </c>
      <c r="B61" t="s">
        <v>167</v>
      </c>
      <c r="C61" t="s">
        <v>168</v>
      </c>
      <c r="D61">
        <v>0</v>
      </c>
      <c r="E61">
        <v>1</v>
      </c>
      <c r="F61">
        <v>0</v>
      </c>
      <c r="G61">
        <v>0</v>
      </c>
      <c r="H61" t="s">
        <v>169</v>
      </c>
    </row>
    <row r="62" spans="1:9" ht="20.100000000000001" hidden="1" customHeight="1" x14ac:dyDescent="0.15">
      <c r="A62">
        <v>15060</v>
      </c>
      <c r="B62" t="s">
        <v>170</v>
      </c>
      <c r="C62" t="s">
        <v>171</v>
      </c>
      <c r="D62">
        <v>0</v>
      </c>
      <c r="E62">
        <v>1000</v>
      </c>
      <c r="F62">
        <v>0</v>
      </c>
      <c r="G62">
        <v>0</v>
      </c>
      <c r="H62" t="s">
        <v>169</v>
      </c>
    </row>
    <row r="63" spans="1:9" ht="20.100000000000001" hidden="1" customHeight="1" x14ac:dyDescent="0.15">
      <c r="A63">
        <v>15061</v>
      </c>
      <c r="B63" t="s">
        <v>172</v>
      </c>
      <c r="C63" t="s">
        <v>173</v>
      </c>
      <c r="D63">
        <v>0</v>
      </c>
      <c r="E63">
        <v>350</v>
      </c>
      <c r="F63">
        <v>0</v>
      </c>
      <c r="G63">
        <v>0</v>
      </c>
      <c r="H63" t="s">
        <v>169</v>
      </c>
    </row>
    <row r="64" spans="1:9" ht="20.100000000000001" hidden="1" customHeight="1" x14ac:dyDescent="0.15">
      <c r="A64">
        <v>15062</v>
      </c>
      <c r="B64" t="s">
        <v>174</v>
      </c>
      <c r="C64" t="s">
        <v>175</v>
      </c>
      <c r="D64">
        <v>0</v>
      </c>
      <c r="E64">
        <v>500</v>
      </c>
      <c r="F64">
        <v>0</v>
      </c>
      <c r="G64">
        <v>0</v>
      </c>
      <c r="H64" t="s">
        <v>169</v>
      </c>
    </row>
    <row r="65" spans="1:8" ht="20.100000000000001" hidden="1" customHeight="1" x14ac:dyDescent="0.15">
      <c r="A65">
        <v>15063</v>
      </c>
      <c r="B65" t="s">
        <v>176</v>
      </c>
      <c r="C65" t="s">
        <v>177</v>
      </c>
      <c r="D65">
        <v>10</v>
      </c>
      <c r="E65">
        <v>20</v>
      </c>
      <c r="F65">
        <v>0</v>
      </c>
      <c r="G65">
        <v>0</v>
      </c>
      <c r="H65" t="s">
        <v>166</v>
      </c>
    </row>
    <row r="66" spans="1:8" ht="20.100000000000001" hidden="1" customHeight="1" x14ac:dyDescent="0.15">
      <c r="A66">
        <v>15064</v>
      </c>
      <c r="B66" t="s">
        <v>178</v>
      </c>
      <c r="C66" t="s">
        <v>179</v>
      </c>
      <c r="D66">
        <v>0</v>
      </c>
      <c r="E66">
        <v>1</v>
      </c>
      <c r="F66">
        <v>0</v>
      </c>
      <c r="G66">
        <v>1</v>
      </c>
      <c r="H66" t="s">
        <v>169</v>
      </c>
    </row>
    <row r="67" spans="1:8" ht="20.100000000000001" hidden="1" customHeight="1" x14ac:dyDescent="0.15">
      <c r="A67">
        <v>15065</v>
      </c>
      <c r="B67" t="s">
        <v>180</v>
      </c>
      <c r="C67" t="s">
        <v>181</v>
      </c>
      <c r="D67">
        <v>0</v>
      </c>
      <c r="E67">
        <v>1</v>
      </c>
      <c r="F67">
        <v>0</v>
      </c>
      <c r="G67">
        <v>0</v>
      </c>
      <c r="H67" t="s">
        <v>182</v>
      </c>
    </row>
    <row r="68" spans="1:8" ht="20.100000000000001" hidden="1" customHeight="1" x14ac:dyDescent="0.15">
      <c r="A68">
        <v>15066</v>
      </c>
      <c r="B68" t="s">
        <v>183</v>
      </c>
      <c r="C68" t="s">
        <v>184</v>
      </c>
      <c r="D68">
        <v>0</v>
      </c>
      <c r="E68">
        <v>10000</v>
      </c>
      <c r="F68">
        <v>0</v>
      </c>
      <c r="G68">
        <v>0</v>
      </c>
      <c r="H68" t="s">
        <v>182</v>
      </c>
    </row>
    <row r="69" spans="1:8" ht="20.100000000000001" hidden="1" customHeight="1" x14ac:dyDescent="0.15">
      <c r="A69">
        <v>15067</v>
      </c>
      <c r="B69" t="s">
        <v>185</v>
      </c>
      <c r="C69" t="s">
        <v>186</v>
      </c>
      <c r="D69">
        <v>0</v>
      </c>
      <c r="E69">
        <v>10000</v>
      </c>
      <c r="F69">
        <v>0</v>
      </c>
      <c r="G69">
        <v>0</v>
      </c>
      <c r="H69" t="s">
        <v>182</v>
      </c>
    </row>
    <row r="70" spans="1:8" ht="20.100000000000001" hidden="1" customHeight="1" x14ac:dyDescent="0.15">
      <c r="A70">
        <v>15068</v>
      </c>
      <c r="B70" t="s">
        <v>187</v>
      </c>
      <c r="C70" t="s">
        <v>188</v>
      </c>
      <c r="D70">
        <v>0</v>
      </c>
      <c r="E70">
        <v>690</v>
      </c>
      <c r="F70">
        <v>0</v>
      </c>
      <c r="G70">
        <v>0</v>
      </c>
      <c r="H70" t="s">
        <v>189</v>
      </c>
    </row>
    <row r="71" spans="1:8" ht="20.100000000000001" hidden="1" customHeight="1" x14ac:dyDescent="0.15">
      <c r="A71">
        <v>15069</v>
      </c>
      <c r="B71" t="s">
        <v>190</v>
      </c>
      <c r="C71" t="s">
        <v>191</v>
      </c>
      <c r="D71">
        <v>0</v>
      </c>
      <c r="E71">
        <v>1</v>
      </c>
      <c r="F71">
        <v>0</v>
      </c>
      <c r="G71">
        <v>0</v>
      </c>
      <c r="H71" t="s">
        <v>182</v>
      </c>
    </row>
    <row r="72" spans="1:8" ht="20.100000000000001" hidden="1" customHeight="1" x14ac:dyDescent="0.15">
      <c r="A72">
        <v>15070</v>
      </c>
      <c r="B72" t="s">
        <v>192</v>
      </c>
      <c r="C72" t="s">
        <v>193</v>
      </c>
      <c r="D72">
        <v>0</v>
      </c>
      <c r="E72">
        <v>600</v>
      </c>
      <c r="F72">
        <v>0</v>
      </c>
      <c r="G72">
        <v>0</v>
      </c>
      <c r="H72" t="s">
        <v>189</v>
      </c>
    </row>
    <row r="73" spans="1:8" ht="20.100000000000001" hidden="1" customHeight="1" x14ac:dyDescent="0.15">
      <c r="A73">
        <v>15071</v>
      </c>
      <c r="B73" t="s">
        <v>194</v>
      </c>
      <c r="C73" t="s">
        <v>195</v>
      </c>
      <c r="D73">
        <v>100</v>
      </c>
      <c r="E73">
        <v>500</v>
      </c>
      <c r="F73">
        <v>0</v>
      </c>
      <c r="G73">
        <v>0</v>
      </c>
      <c r="H73" t="s">
        <v>182</v>
      </c>
    </row>
    <row r="74" spans="1:8" ht="20.100000000000001" hidden="1" customHeight="1" x14ac:dyDescent="0.15">
      <c r="A74">
        <v>15072</v>
      </c>
      <c r="B74" t="s">
        <v>196</v>
      </c>
      <c r="C74" t="s">
        <v>197</v>
      </c>
      <c r="D74">
        <v>2</v>
      </c>
      <c r="E74">
        <v>99</v>
      </c>
      <c r="F74">
        <v>1</v>
      </c>
      <c r="G74">
        <v>0</v>
      </c>
      <c r="H74" t="s">
        <v>182</v>
      </c>
    </row>
    <row r="75" spans="1:8" ht="20.100000000000001" hidden="1" customHeight="1" x14ac:dyDescent="0.15">
      <c r="A75">
        <v>15073</v>
      </c>
      <c r="B75" t="s">
        <v>198</v>
      </c>
      <c r="C75" t="s">
        <v>199</v>
      </c>
      <c r="D75">
        <v>60</v>
      </c>
      <c r="E75">
        <v>120</v>
      </c>
      <c r="F75">
        <v>10</v>
      </c>
      <c r="G75">
        <v>1</v>
      </c>
      <c r="H75" t="s">
        <v>169</v>
      </c>
    </row>
    <row r="76" spans="1:8" ht="20.100000000000001" hidden="1" customHeight="1" x14ac:dyDescent="0.15">
      <c r="A76">
        <v>15074</v>
      </c>
      <c r="B76" t="s">
        <v>200</v>
      </c>
      <c r="C76" t="s">
        <v>201</v>
      </c>
      <c r="D76">
        <v>0</v>
      </c>
      <c r="E76">
        <v>1</v>
      </c>
      <c r="F76">
        <v>0</v>
      </c>
      <c r="G76">
        <v>0</v>
      </c>
      <c r="H76" t="s">
        <v>169</v>
      </c>
    </row>
    <row r="77" spans="1:8" ht="20.100000000000001" hidden="1" customHeight="1" x14ac:dyDescent="0.15">
      <c r="A77">
        <v>15075</v>
      </c>
      <c r="B77" t="s">
        <v>202</v>
      </c>
      <c r="C77" t="s">
        <v>203</v>
      </c>
      <c r="D77">
        <v>100</v>
      </c>
      <c r="E77">
        <v>600</v>
      </c>
      <c r="F77">
        <v>20</v>
      </c>
      <c r="G77">
        <v>0</v>
      </c>
      <c r="H77" t="s">
        <v>169</v>
      </c>
    </row>
    <row r="78" spans="1:8" ht="20.100000000000001" hidden="1" customHeight="1" x14ac:dyDescent="0.15">
      <c r="A78">
        <v>15076</v>
      </c>
      <c r="B78" t="s">
        <v>204</v>
      </c>
      <c r="C78" t="s">
        <v>205</v>
      </c>
      <c r="D78">
        <v>0</v>
      </c>
      <c r="E78">
        <v>60000</v>
      </c>
      <c r="F78">
        <v>0</v>
      </c>
      <c r="G78">
        <v>0</v>
      </c>
      <c r="H78" t="s">
        <v>169</v>
      </c>
    </row>
    <row r="79" spans="1:8" ht="20.100000000000001" hidden="1" customHeight="1" x14ac:dyDescent="0.15">
      <c r="A79">
        <v>15077</v>
      </c>
      <c r="B79" t="s">
        <v>206</v>
      </c>
      <c r="C79" t="s">
        <v>207</v>
      </c>
      <c r="D79">
        <v>10</v>
      </c>
      <c r="E79">
        <v>49</v>
      </c>
      <c r="F79">
        <v>2</v>
      </c>
      <c r="G79">
        <v>0</v>
      </c>
      <c r="H79" t="s">
        <v>169</v>
      </c>
    </row>
    <row r="80" spans="1:8" ht="20.100000000000001" hidden="1" customHeight="1" x14ac:dyDescent="0.15">
      <c r="A80">
        <v>15078</v>
      </c>
      <c r="B80" t="s">
        <v>208</v>
      </c>
      <c r="C80" t="s">
        <v>209</v>
      </c>
      <c r="D80">
        <v>0</v>
      </c>
      <c r="E80">
        <v>100</v>
      </c>
      <c r="F80">
        <v>0</v>
      </c>
      <c r="G80">
        <v>0</v>
      </c>
      <c r="H80" t="s">
        <v>169</v>
      </c>
    </row>
    <row r="81" spans="1:8" ht="20.100000000000001" hidden="1" customHeight="1" x14ac:dyDescent="0.15">
      <c r="A81">
        <v>15079</v>
      </c>
      <c r="B81" t="s">
        <v>210</v>
      </c>
      <c r="C81" t="s">
        <v>211</v>
      </c>
      <c r="D81">
        <v>0</v>
      </c>
      <c r="E81">
        <v>200</v>
      </c>
      <c r="F81">
        <v>1</v>
      </c>
      <c r="G81">
        <v>0</v>
      </c>
      <c r="H81" t="s">
        <v>129</v>
      </c>
    </row>
    <row r="82" spans="1:8" ht="20.100000000000001" hidden="1" customHeight="1" x14ac:dyDescent="0.15">
      <c r="A82">
        <v>15080</v>
      </c>
      <c r="B82" t="s">
        <v>212</v>
      </c>
      <c r="C82" t="s">
        <v>213</v>
      </c>
      <c r="D82">
        <v>0</v>
      </c>
      <c r="E82">
        <v>1</v>
      </c>
      <c r="F82">
        <v>0</v>
      </c>
      <c r="G82">
        <v>0</v>
      </c>
      <c r="H82" t="s">
        <v>169</v>
      </c>
    </row>
    <row r="83" spans="1:8" ht="20.100000000000001" hidden="1" customHeight="1" x14ac:dyDescent="0.15">
      <c r="A83">
        <v>15081</v>
      </c>
      <c r="B83" t="s">
        <v>214</v>
      </c>
      <c r="C83" t="s">
        <v>215</v>
      </c>
      <c r="D83">
        <v>0</v>
      </c>
      <c r="E83">
        <v>1</v>
      </c>
      <c r="F83">
        <v>0</v>
      </c>
      <c r="G83">
        <v>0</v>
      </c>
      <c r="H83" t="s">
        <v>169</v>
      </c>
    </row>
    <row r="84" spans="1:8" ht="20.100000000000001" hidden="1" customHeight="1" x14ac:dyDescent="0.15">
      <c r="A84">
        <v>15082</v>
      </c>
      <c r="B84" t="s">
        <v>216</v>
      </c>
      <c r="C84" t="s">
        <v>217</v>
      </c>
      <c r="D84">
        <v>0</v>
      </c>
      <c r="E84">
        <v>1</v>
      </c>
      <c r="F84">
        <v>0</v>
      </c>
      <c r="G84">
        <v>0</v>
      </c>
      <c r="H84" t="s">
        <v>129</v>
      </c>
    </row>
    <row r="85" spans="1:8" ht="20.100000000000001" hidden="1" customHeight="1" x14ac:dyDescent="0.15">
      <c r="A85">
        <v>15083</v>
      </c>
      <c r="B85" t="s">
        <v>218</v>
      </c>
      <c r="C85" t="s">
        <v>217</v>
      </c>
      <c r="D85">
        <v>0</v>
      </c>
      <c r="E85">
        <v>1</v>
      </c>
      <c r="F85">
        <v>0</v>
      </c>
      <c r="G85">
        <v>0</v>
      </c>
      <c r="H85" t="s">
        <v>129</v>
      </c>
    </row>
    <row r="86" spans="1:8" ht="20.100000000000001" hidden="1" customHeight="1" x14ac:dyDescent="0.15">
      <c r="A86">
        <v>15084</v>
      </c>
      <c r="B86" t="s">
        <v>219</v>
      </c>
      <c r="C86" t="s">
        <v>217</v>
      </c>
      <c r="D86">
        <v>0</v>
      </c>
      <c r="E86">
        <v>1</v>
      </c>
      <c r="F86">
        <v>0</v>
      </c>
      <c r="G86">
        <v>0</v>
      </c>
      <c r="H86" t="s">
        <v>129</v>
      </c>
    </row>
    <row r="87" spans="1:8" ht="20.100000000000001" hidden="1" customHeight="1" x14ac:dyDescent="0.15">
      <c r="A87">
        <v>15085</v>
      </c>
      <c r="B87" t="s">
        <v>220</v>
      </c>
      <c r="C87" t="s">
        <v>217</v>
      </c>
      <c r="D87">
        <v>0</v>
      </c>
      <c r="E87">
        <v>1</v>
      </c>
      <c r="F87">
        <v>0</v>
      </c>
      <c r="G87">
        <v>0</v>
      </c>
      <c r="H87" t="s">
        <v>129</v>
      </c>
    </row>
    <row r="88" spans="1:8" ht="20.100000000000001" hidden="1" customHeight="1" x14ac:dyDescent="0.15">
      <c r="A88">
        <v>15086</v>
      </c>
      <c r="B88" t="s">
        <v>221</v>
      </c>
      <c r="C88" t="s">
        <v>222</v>
      </c>
      <c r="D88">
        <v>50</v>
      </c>
      <c r="E88">
        <v>100</v>
      </c>
      <c r="F88">
        <v>0</v>
      </c>
      <c r="G88">
        <v>0</v>
      </c>
      <c r="H88" t="s">
        <v>169</v>
      </c>
    </row>
    <row r="89" spans="1:8" ht="20.100000000000001" hidden="1" customHeight="1" x14ac:dyDescent="0.15">
      <c r="A89">
        <v>15087</v>
      </c>
      <c r="B89" t="s">
        <v>223</v>
      </c>
      <c r="C89" t="s">
        <v>224</v>
      </c>
      <c r="D89">
        <v>50</v>
      </c>
      <c r="E89">
        <v>100</v>
      </c>
      <c r="F89">
        <v>0</v>
      </c>
      <c r="G89">
        <v>0</v>
      </c>
      <c r="H89" t="s">
        <v>169</v>
      </c>
    </row>
    <row r="90" spans="1:8" ht="20.100000000000001" hidden="1" customHeight="1" x14ac:dyDescent="0.15">
      <c r="A90">
        <v>15088</v>
      </c>
      <c r="B90" t="s">
        <v>225</v>
      </c>
      <c r="C90" t="s">
        <v>226</v>
      </c>
      <c r="D90">
        <v>0</v>
      </c>
      <c r="E90">
        <v>100</v>
      </c>
      <c r="F90">
        <v>0</v>
      </c>
      <c r="G90">
        <v>0</v>
      </c>
      <c r="H90" t="s">
        <v>169</v>
      </c>
    </row>
    <row r="91" spans="1:8" ht="20.100000000000001" hidden="1" customHeight="1" x14ac:dyDescent="0.15">
      <c r="A91">
        <v>15089</v>
      </c>
      <c r="B91" t="s">
        <v>227</v>
      </c>
      <c r="C91" t="s">
        <v>226</v>
      </c>
      <c r="D91">
        <v>0</v>
      </c>
      <c r="E91">
        <v>100</v>
      </c>
      <c r="F91">
        <v>0</v>
      </c>
      <c r="G91">
        <v>0</v>
      </c>
      <c r="H91" t="s">
        <v>169</v>
      </c>
    </row>
    <row r="92" spans="1:8" ht="20.100000000000001" hidden="1" customHeight="1" x14ac:dyDescent="0.15">
      <c r="A92">
        <v>15090</v>
      </c>
      <c r="B92" t="s">
        <v>228</v>
      </c>
      <c r="C92" t="s">
        <v>226</v>
      </c>
      <c r="D92">
        <v>0</v>
      </c>
      <c r="E92">
        <v>100</v>
      </c>
      <c r="F92">
        <v>0</v>
      </c>
      <c r="G92">
        <v>0</v>
      </c>
      <c r="H92" t="s">
        <v>169</v>
      </c>
    </row>
    <row r="93" spans="1:8" ht="20.100000000000001" hidden="1" customHeight="1" x14ac:dyDescent="0.15">
      <c r="A93">
        <v>15091</v>
      </c>
      <c r="B93" t="s">
        <v>229</v>
      </c>
      <c r="C93" t="s">
        <v>226</v>
      </c>
      <c r="D93">
        <v>0</v>
      </c>
      <c r="E93">
        <v>100</v>
      </c>
      <c r="F93">
        <v>0</v>
      </c>
      <c r="G93">
        <v>0</v>
      </c>
      <c r="H93" t="s">
        <v>169</v>
      </c>
    </row>
    <row r="94" spans="1:8" ht="20.100000000000001" hidden="1" customHeight="1" x14ac:dyDescent="0.15">
      <c r="A94">
        <v>15092</v>
      </c>
      <c r="B94" t="s">
        <v>230</v>
      </c>
      <c r="C94" t="s">
        <v>231</v>
      </c>
      <c r="D94">
        <v>1</v>
      </c>
      <c r="E94">
        <v>16</v>
      </c>
      <c r="F94">
        <v>1</v>
      </c>
      <c r="G94">
        <v>0</v>
      </c>
      <c r="H94" t="s">
        <v>129</v>
      </c>
    </row>
    <row r="95" spans="1:8" ht="20.100000000000001" hidden="1" customHeight="1" x14ac:dyDescent="0.15">
      <c r="A95">
        <v>15093</v>
      </c>
      <c r="B95" t="s">
        <v>232</v>
      </c>
      <c r="C95" t="s">
        <v>233</v>
      </c>
      <c r="D95">
        <v>1</v>
      </c>
      <c r="E95">
        <v>16</v>
      </c>
      <c r="F95">
        <v>1</v>
      </c>
      <c r="G95">
        <v>0</v>
      </c>
      <c r="H95" t="s">
        <v>129</v>
      </c>
    </row>
    <row r="96" spans="1:8" ht="20.100000000000001" hidden="1" customHeight="1" x14ac:dyDescent="0.15">
      <c r="A96">
        <v>15094</v>
      </c>
      <c r="B96" t="s">
        <v>234</v>
      </c>
      <c r="C96" t="s">
        <v>235</v>
      </c>
      <c r="D96">
        <v>0</v>
      </c>
      <c r="E96" t="s">
        <v>70</v>
      </c>
      <c r="F96">
        <v>0</v>
      </c>
      <c r="G96">
        <v>0</v>
      </c>
      <c r="H96" t="s">
        <v>129</v>
      </c>
    </row>
    <row r="97" spans="1:9" ht="20.100000000000001" hidden="1" customHeight="1" x14ac:dyDescent="0.15">
      <c r="A97">
        <v>15095</v>
      </c>
      <c r="B97" t="s">
        <v>236</v>
      </c>
      <c r="C97" t="s">
        <v>237</v>
      </c>
      <c r="D97">
        <v>0</v>
      </c>
      <c r="E97" t="s">
        <v>70</v>
      </c>
      <c r="F97">
        <v>0</v>
      </c>
      <c r="G97">
        <v>0</v>
      </c>
      <c r="H97" t="s">
        <v>129</v>
      </c>
    </row>
    <row r="98" spans="1:9" ht="20.100000000000001" hidden="1" customHeight="1" x14ac:dyDescent="0.15">
      <c r="A98">
        <v>15096</v>
      </c>
      <c r="B98" t="s">
        <v>238</v>
      </c>
      <c r="C98" t="s">
        <v>239</v>
      </c>
      <c r="D98">
        <v>0</v>
      </c>
      <c r="E98" t="s">
        <v>70</v>
      </c>
      <c r="F98">
        <v>0</v>
      </c>
      <c r="G98">
        <v>0</v>
      </c>
      <c r="H98" t="s">
        <v>129</v>
      </c>
    </row>
    <row r="99" spans="1:9" ht="20.100000000000001" hidden="1" customHeight="1" x14ac:dyDescent="0.15">
      <c r="A99">
        <v>15097</v>
      </c>
      <c r="B99" t="s">
        <v>240</v>
      </c>
      <c r="C99" t="s">
        <v>241</v>
      </c>
      <c r="D99">
        <v>0</v>
      </c>
      <c r="E99" t="s">
        <v>70</v>
      </c>
      <c r="F99">
        <v>0</v>
      </c>
      <c r="G99">
        <v>0</v>
      </c>
      <c r="H99" t="s">
        <v>129</v>
      </c>
    </row>
    <row r="100" spans="1:9" ht="20.100000000000001" hidden="1" customHeight="1" x14ac:dyDescent="0.15">
      <c r="A100">
        <v>15098</v>
      </c>
      <c r="B100" t="s">
        <v>242</v>
      </c>
      <c r="C100" t="s">
        <v>243</v>
      </c>
      <c r="D100">
        <v>0</v>
      </c>
      <c r="E100">
        <v>1</v>
      </c>
      <c r="F100">
        <v>0</v>
      </c>
      <c r="G100">
        <v>0</v>
      </c>
      <c r="H100" t="s">
        <v>129</v>
      </c>
    </row>
    <row r="101" spans="1:9" ht="20.100000000000001" hidden="1" customHeight="1" x14ac:dyDescent="0.15">
      <c r="A101">
        <v>15099</v>
      </c>
      <c r="B101" t="s">
        <v>244</v>
      </c>
      <c r="C101" t="s">
        <v>245</v>
      </c>
      <c r="D101">
        <v>0</v>
      </c>
      <c r="E101">
        <v>1</v>
      </c>
      <c r="F101">
        <v>0</v>
      </c>
      <c r="G101">
        <v>0</v>
      </c>
      <c r="H101" t="s">
        <v>129</v>
      </c>
    </row>
    <row r="102" spans="1:9" ht="20.100000000000001" customHeight="1" x14ac:dyDescent="0.15">
      <c r="A102">
        <v>15100</v>
      </c>
      <c r="B102" t="s">
        <v>246</v>
      </c>
      <c r="C102" t="s">
        <v>247</v>
      </c>
      <c r="D102">
        <v>200</v>
      </c>
      <c r="E102">
        <v>1500</v>
      </c>
      <c r="F102">
        <v>50</v>
      </c>
      <c r="G102">
        <v>0</v>
      </c>
      <c r="H102" t="s">
        <v>248</v>
      </c>
      <c r="I102">
        <f>BL</f>
        <v>168</v>
      </c>
    </row>
    <row r="103" spans="1:9" ht="20.100000000000001" customHeight="1" x14ac:dyDescent="0.15">
      <c r="A103">
        <v>15101</v>
      </c>
      <c r="B103" t="s">
        <v>249</v>
      </c>
      <c r="C103" t="s">
        <v>250</v>
      </c>
      <c r="D103">
        <v>135</v>
      </c>
      <c r="E103">
        <v>250</v>
      </c>
      <c r="F103">
        <v>50</v>
      </c>
      <c r="G103">
        <v>0</v>
      </c>
      <c r="H103" t="s">
        <v>248</v>
      </c>
      <c r="I103">
        <f>BW</f>
        <v>133</v>
      </c>
    </row>
    <row r="104" spans="1:9" ht="20.100000000000001" hidden="1" customHeight="1" x14ac:dyDescent="0.15">
      <c r="A104">
        <v>15102</v>
      </c>
      <c r="B104" t="s">
        <v>251</v>
      </c>
      <c r="C104" t="s">
        <v>252</v>
      </c>
      <c r="D104">
        <v>30</v>
      </c>
      <c r="E104">
        <v>100</v>
      </c>
      <c r="F104">
        <v>10</v>
      </c>
      <c r="G104">
        <v>1</v>
      </c>
      <c r="H104" t="s">
        <v>253</v>
      </c>
    </row>
    <row r="105" spans="1:9" ht="20.100000000000001" hidden="1" customHeight="1" x14ac:dyDescent="0.15">
      <c r="A105">
        <v>15103</v>
      </c>
      <c r="B105" t="s">
        <v>254</v>
      </c>
      <c r="C105" t="s">
        <v>255</v>
      </c>
      <c r="D105">
        <v>0</v>
      </c>
      <c r="E105">
        <v>10</v>
      </c>
      <c r="F105">
        <v>0</v>
      </c>
      <c r="G105">
        <v>0</v>
      </c>
      <c r="H105" t="s">
        <v>114</v>
      </c>
    </row>
    <row r="106" spans="1:9" ht="20.100000000000001" customHeight="1" x14ac:dyDescent="0.15">
      <c r="A106">
        <v>15104</v>
      </c>
      <c r="B106" t="s">
        <v>256</v>
      </c>
      <c r="C106" t="s">
        <v>257</v>
      </c>
      <c r="D106">
        <v>60</v>
      </c>
      <c r="E106">
        <v>120</v>
      </c>
      <c r="F106">
        <v>10</v>
      </c>
      <c r="G106">
        <v>0</v>
      </c>
      <c r="H106" t="s">
        <v>258</v>
      </c>
      <c r="I106">
        <f>BPM</f>
        <v>60</v>
      </c>
    </row>
    <row r="107" spans="1:9" ht="20.100000000000001" customHeight="1" x14ac:dyDescent="0.15">
      <c r="A107">
        <v>15105</v>
      </c>
      <c r="B107" t="s">
        <v>259</v>
      </c>
      <c r="C107" t="s">
        <v>260</v>
      </c>
      <c r="D107">
        <v>30</v>
      </c>
      <c r="E107">
        <v>100</v>
      </c>
      <c r="F107">
        <v>0</v>
      </c>
      <c r="G107">
        <v>0</v>
      </c>
      <c r="H107" t="s">
        <v>258</v>
      </c>
      <c r="I107">
        <v>30</v>
      </c>
    </row>
    <row r="108" spans="1:9" ht="20.100000000000001" hidden="1" customHeight="1" x14ac:dyDescent="0.15">
      <c r="A108">
        <v>15106</v>
      </c>
      <c r="B108" t="s">
        <v>261</v>
      </c>
      <c r="C108" t="s">
        <v>262</v>
      </c>
      <c r="D108">
        <v>0</v>
      </c>
      <c r="E108">
        <v>50</v>
      </c>
      <c r="F108">
        <v>0</v>
      </c>
      <c r="G108">
        <v>0</v>
      </c>
      <c r="H108" t="s">
        <v>263</v>
      </c>
    </row>
    <row r="109" spans="1:9" ht="20.100000000000001" customHeight="1" x14ac:dyDescent="0.15">
      <c r="A109">
        <v>15107</v>
      </c>
      <c r="B109" t="s">
        <v>264</v>
      </c>
      <c r="C109" t="s">
        <v>265</v>
      </c>
      <c r="D109">
        <v>500</v>
      </c>
      <c r="E109">
        <v>1000</v>
      </c>
      <c r="F109">
        <v>200</v>
      </c>
      <c r="G109">
        <v>0</v>
      </c>
      <c r="H109" t="s">
        <v>166</v>
      </c>
      <c r="I109">
        <v>800</v>
      </c>
    </row>
    <row r="110" spans="1:9" ht="20.100000000000001" hidden="1" customHeight="1" x14ac:dyDescent="0.15">
      <c r="A110">
        <v>15108</v>
      </c>
      <c r="B110" t="s">
        <v>266</v>
      </c>
      <c r="C110" t="s">
        <v>267</v>
      </c>
      <c r="D110">
        <v>200</v>
      </c>
      <c r="E110">
        <v>500</v>
      </c>
      <c r="F110">
        <v>10</v>
      </c>
      <c r="G110">
        <v>1</v>
      </c>
      <c r="H110" t="s">
        <v>253</v>
      </c>
    </row>
    <row r="111" spans="1:9" ht="20.100000000000001" customHeight="1" x14ac:dyDescent="0.15">
      <c r="A111">
        <v>15109</v>
      </c>
      <c r="B111" t="s">
        <v>268</v>
      </c>
      <c r="C111" t="s">
        <v>269</v>
      </c>
      <c r="D111">
        <v>300</v>
      </c>
      <c r="E111">
        <v>530</v>
      </c>
      <c r="F111">
        <v>150</v>
      </c>
      <c r="G111">
        <v>0</v>
      </c>
      <c r="H111" t="s">
        <v>253</v>
      </c>
      <c r="I111">
        <f>BW*2+19</f>
        <v>285</v>
      </c>
    </row>
    <row r="112" spans="1:9" ht="20.100000000000001" hidden="1" customHeight="1" x14ac:dyDescent="0.15">
      <c r="A112">
        <v>15110</v>
      </c>
      <c r="B112" t="s">
        <v>270</v>
      </c>
      <c r="C112" t="s">
        <v>271</v>
      </c>
      <c r="D112">
        <v>30</v>
      </c>
      <c r="E112">
        <v>50</v>
      </c>
      <c r="F112">
        <v>0</v>
      </c>
      <c r="G112">
        <v>0</v>
      </c>
      <c r="H112" t="s">
        <v>253</v>
      </c>
    </row>
    <row r="113" spans="1:9" ht="20.100000000000001" customHeight="1" x14ac:dyDescent="0.15">
      <c r="A113">
        <v>15111</v>
      </c>
      <c r="B113" t="s">
        <v>1379</v>
      </c>
      <c r="C113" t="s">
        <v>1380</v>
      </c>
      <c r="D113">
        <v>5</v>
      </c>
      <c r="E113">
        <v>10</v>
      </c>
      <c r="F113">
        <v>0</v>
      </c>
      <c r="G113">
        <v>0</v>
      </c>
      <c r="H113" t="s">
        <v>253</v>
      </c>
      <c r="I113">
        <v>3</v>
      </c>
    </row>
    <row r="114" spans="1:9" ht="20.100000000000001" hidden="1" customHeight="1" x14ac:dyDescent="0.15">
      <c r="A114">
        <v>15112</v>
      </c>
      <c r="B114" t="s">
        <v>272</v>
      </c>
      <c r="C114" t="s">
        <v>273</v>
      </c>
      <c r="D114">
        <v>5</v>
      </c>
      <c r="E114">
        <v>10</v>
      </c>
      <c r="F114">
        <v>0</v>
      </c>
      <c r="G114">
        <v>0</v>
      </c>
      <c r="H114" t="s">
        <v>263</v>
      </c>
    </row>
    <row r="115" spans="1:9" ht="20.100000000000001" hidden="1" customHeight="1" x14ac:dyDescent="0.15">
      <c r="A115">
        <v>15113</v>
      </c>
      <c r="B115" t="s">
        <v>274</v>
      </c>
      <c r="C115" t="s">
        <v>275</v>
      </c>
      <c r="D115">
        <v>30</v>
      </c>
      <c r="E115">
        <v>100</v>
      </c>
      <c r="F115">
        <v>0</v>
      </c>
      <c r="G115">
        <v>0</v>
      </c>
      <c r="H115" t="s">
        <v>263</v>
      </c>
    </row>
    <row r="116" spans="1:9" ht="20.100000000000001" hidden="1" customHeight="1" x14ac:dyDescent="0.15">
      <c r="A116">
        <v>15114</v>
      </c>
      <c r="B116" t="s">
        <v>276</v>
      </c>
      <c r="C116" t="s">
        <v>277</v>
      </c>
      <c r="D116">
        <v>0</v>
      </c>
      <c r="E116">
        <v>1500</v>
      </c>
      <c r="F116">
        <v>0</v>
      </c>
      <c r="G116">
        <v>0</v>
      </c>
      <c r="H116" t="s">
        <v>253</v>
      </c>
    </row>
    <row r="117" spans="1:9" ht="20.100000000000001" hidden="1" customHeight="1" x14ac:dyDescent="0.15">
      <c r="A117">
        <v>15115</v>
      </c>
      <c r="B117" t="s">
        <v>278</v>
      </c>
      <c r="C117" t="s">
        <v>279</v>
      </c>
      <c r="D117">
        <v>15</v>
      </c>
      <c r="E117">
        <v>30</v>
      </c>
      <c r="F117">
        <v>0</v>
      </c>
      <c r="G117">
        <v>1</v>
      </c>
      <c r="H117" t="s">
        <v>280</v>
      </c>
    </row>
    <row r="118" spans="1:9" ht="20.100000000000001" hidden="1" customHeight="1" x14ac:dyDescent="0.15">
      <c r="A118">
        <v>15116</v>
      </c>
      <c r="B118" t="s">
        <v>281</v>
      </c>
      <c r="C118" t="s">
        <v>282</v>
      </c>
      <c r="D118">
        <v>70</v>
      </c>
      <c r="E118">
        <v>200</v>
      </c>
      <c r="F118">
        <v>0</v>
      </c>
      <c r="G118">
        <v>1</v>
      </c>
      <c r="H118" t="s">
        <v>283</v>
      </c>
    </row>
    <row r="119" spans="1:9" ht="20.100000000000001" hidden="1" customHeight="1" x14ac:dyDescent="0.15">
      <c r="A119">
        <v>15117</v>
      </c>
      <c r="B119" t="s">
        <v>284</v>
      </c>
      <c r="C119" t="s">
        <v>285</v>
      </c>
      <c r="D119">
        <v>1</v>
      </c>
      <c r="E119">
        <v>5</v>
      </c>
      <c r="F119">
        <v>1</v>
      </c>
      <c r="G119">
        <v>0</v>
      </c>
      <c r="H119" t="s">
        <v>263</v>
      </c>
    </row>
    <row r="120" spans="1:9" ht="20.100000000000001" hidden="1" customHeight="1" x14ac:dyDescent="0.15">
      <c r="A120">
        <v>15118</v>
      </c>
      <c r="B120" t="s">
        <v>286</v>
      </c>
      <c r="C120" t="s">
        <v>287</v>
      </c>
      <c r="D120">
        <v>1</v>
      </c>
      <c r="E120">
        <v>1</v>
      </c>
      <c r="F120">
        <v>0</v>
      </c>
      <c r="G120">
        <v>0</v>
      </c>
      <c r="H120" t="s">
        <v>169</v>
      </c>
    </row>
    <row r="121" spans="1:9" ht="20.100000000000001" hidden="1" customHeight="1" x14ac:dyDescent="0.15">
      <c r="A121">
        <v>15119</v>
      </c>
      <c r="B121" t="s">
        <v>288</v>
      </c>
      <c r="C121" t="s">
        <v>289</v>
      </c>
      <c r="D121">
        <v>4</v>
      </c>
      <c r="E121">
        <v>11</v>
      </c>
      <c r="F121">
        <v>0</v>
      </c>
      <c r="G121">
        <v>0</v>
      </c>
      <c r="H121" t="s">
        <v>169</v>
      </c>
    </row>
    <row r="122" spans="1:9" ht="20.100000000000001" customHeight="1" x14ac:dyDescent="0.15">
      <c r="A122">
        <v>15120</v>
      </c>
      <c r="B122" t="s">
        <v>290</v>
      </c>
      <c r="C122" t="s">
        <v>291</v>
      </c>
      <c r="D122">
        <v>0</v>
      </c>
      <c r="E122">
        <v>1</v>
      </c>
      <c r="F122">
        <v>0</v>
      </c>
      <c r="G122">
        <v>0</v>
      </c>
      <c r="H122" t="s">
        <v>263</v>
      </c>
      <c r="I122" cm="1">
        <f t="array" ref="I122">RGON</f>
        <v>1</v>
      </c>
    </row>
    <row r="123" spans="1:9" ht="20.100000000000001" customHeight="1" x14ac:dyDescent="0.15">
      <c r="A123">
        <v>15121</v>
      </c>
      <c r="B123" t="s">
        <v>292</v>
      </c>
      <c r="C123" t="s">
        <v>293</v>
      </c>
      <c r="D123">
        <v>5</v>
      </c>
      <c r="E123">
        <v>200</v>
      </c>
      <c r="F123">
        <v>3</v>
      </c>
      <c r="G123">
        <v>0</v>
      </c>
      <c r="H123" t="s">
        <v>166</v>
      </c>
      <c r="I123" cm="1">
        <f t="array" ref="I123">RGW</f>
        <v>10</v>
      </c>
    </row>
    <row r="124" spans="1:9" ht="20.100000000000001" customHeight="1" x14ac:dyDescent="0.15">
      <c r="A124">
        <v>15122</v>
      </c>
      <c r="B124" t="s">
        <v>294</v>
      </c>
      <c r="C124" t="s">
        <v>1381</v>
      </c>
      <c r="D124">
        <v>60</v>
      </c>
      <c r="E124">
        <v>1499</v>
      </c>
      <c r="F124">
        <v>0</v>
      </c>
      <c r="G124">
        <v>0</v>
      </c>
      <c r="H124" t="s">
        <v>280</v>
      </c>
      <c r="I124" s="22">
        <f>ID_951</f>
        <v>74.812085600050978</v>
      </c>
    </row>
    <row r="125" spans="1:9" ht="20.100000000000001" hidden="1" customHeight="1" x14ac:dyDescent="0.15">
      <c r="A125">
        <v>15123</v>
      </c>
      <c r="B125" t="s">
        <v>296</v>
      </c>
      <c r="C125" t="s">
        <v>297</v>
      </c>
      <c r="D125">
        <v>1</v>
      </c>
      <c r="E125">
        <v>1</v>
      </c>
      <c r="F125">
        <v>0</v>
      </c>
      <c r="G125">
        <v>0</v>
      </c>
      <c r="H125" t="s">
        <v>263</v>
      </c>
    </row>
    <row r="126" spans="1:9" ht="20.100000000000001" hidden="1" customHeight="1" x14ac:dyDescent="0.15">
      <c r="A126">
        <v>15124</v>
      </c>
      <c r="B126" t="s">
        <v>298</v>
      </c>
      <c r="C126" t="s">
        <v>299</v>
      </c>
      <c r="D126">
        <v>0</v>
      </c>
      <c r="E126">
        <v>60000</v>
      </c>
      <c r="F126">
        <v>0</v>
      </c>
      <c r="G126">
        <v>0</v>
      </c>
      <c r="H126" t="s">
        <v>169</v>
      </c>
    </row>
    <row r="127" spans="1:9" ht="20.100000000000001" customHeight="1" x14ac:dyDescent="0.15">
      <c r="A127">
        <v>15125</v>
      </c>
      <c r="B127" t="s">
        <v>300</v>
      </c>
      <c r="C127" t="s">
        <v>1382</v>
      </c>
      <c r="D127">
        <v>3</v>
      </c>
      <c r="E127">
        <v>49</v>
      </c>
      <c r="F127">
        <v>2</v>
      </c>
      <c r="G127">
        <v>0</v>
      </c>
      <c r="H127" t="s">
        <v>169</v>
      </c>
      <c r="I127" s="22">
        <f>ID_943+1</f>
        <v>11</v>
      </c>
    </row>
    <row r="128" spans="1:9" ht="20.100000000000001" hidden="1" customHeight="1" x14ac:dyDescent="0.15">
      <c r="A128">
        <v>15126</v>
      </c>
      <c r="B128" t="s">
        <v>301</v>
      </c>
      <c r="C128" t="s">
        <v>302</v>
      </c>
      <c r="D128">
        <v>1</v>
      </c>
      <c r="E128">
        <v>11</v>
      </c>
      <c r="F128">
        <v>0</v>
      </c>
      <c r="G128">
        <v>0</v>
      </c>
      <c r="H128" t="s">
        <v>263</v>
      </c>
    </row>
    <row r="129" spans="1:9" ht="20.100000000000001" hidden="1" customHeight="1" x14ac:dyDescent="0.15">
      <c r="A129">
        <v>15127</v>
      </c>
      <c r="B129" t="s">
        <v>303</v>
      </c>
      <c r="C129" t="s">
        <v>304</v>
      </c>
      <c r="D129">
        <v>1</v>
      </c>
      <c r="E129">
        <v>1</v>
      </c>
      <c r="F129">
        <v>0</v>
      </c>
      <c r="G129">
        <v>0</v>
      </c>
      <c r="H129" t="s">
        <v>263</v>
      </c>
    </row>
    <row r="130" spans="1:9" ht="20.100000000000001" hidden="1" customHeight="1" x14ac:dyDescent="0.15">
      <c r="A130">
        <v>15128</v>
      </c>
      <c r="B130" t="s">
        <v>305</v>
      </c>
      <c r="C130" t="s">
        <v>306</v>
      </c>
      <c r="D130">
        <v>1000</v>
      </c>
      <c r="E130">
        <v>10000</v>
      </c>
      <c r="F130">
        <v>0</v>
      </c>
      <c r="G130">
        <v>0</v>
      </c>
      <c r="H130" t="s">
        <v>263</v>
      </c>
    </row>
    <row r="131" spans="1:9" ht="20.100000000000001" hidden="1" customHeight="1" x14ac:dyDescent="0.15">
      <c r="A131">
        <v>15129</v>
      </c>
      <c r="B131" t="s">
        <v>307</v>
      </c>
      <c r="C131" t="s">
        <v>308</v>
      </c>
      <c r="D131">
        <v>1</v>
      </c>
      <c r="E131">
        <v>1</v>
      </c>
      <c r="F131">
        <v>0</v>
      </c>
      <c r="G131">
        <v>0</v>
      </c>
      <c r="H131" t="s">
        <v>263</v>
      </c>
    </row>
    <row r="132" spans="1:9" ht="20.100000000000001" hidden="1" customHeight="1" x14ac:dyDescent="0.15">
      <c r="A132">
        <v>15130</v>
      </c>
      <c r="B132" t="s">
        <v>309</v>
      </c>
      <c r="C132" t="s">
        <v>310</v>
      </c>
      <c r="D132">
        <v>0</v>
      </c>
      <c r="E132">
        <v>600</v>
      </c>
      <c r="F132">
        <v>0</v>
      </c>
      <c r="G132">
        <v>1</v>
      </c>
      <c r="H132" t="s">
        <v>263</v>
      </c>
    </row>
    <row r="133" spans="1:9" ht="20.100000000000001" hidden="1" customHeight="1" x14ac:dyDescent="0.15">
      <c r="A133">
        <v>15131</v>
      </c>
      <c r="B133" t="s">
        <v>311</v>
      </c>
      <c r="C133" t="s">
        <v>312</v>
      </c>
      <c r="D133">
        <v>0</v>
      </c>
      <c r="E133">
        <v>130</v>
      </c>
      <c r="F133">
        <v>20</v>
      </c>
      <c r="G133">
        <v>1</v>
      </c>
      <c r="H133" t="s">
        <v>166</v>
      </c>
    </row>
    <row r="134" spans="1:9" ht="20.100000000000001" hidden="1" customHeight="1" x14ac:dyDescent="0.15">
      <c r="A134">
        <v>15132</v>
      </c>
      <c r="B134" t="s">
        <v>313</v>
      </c>
      <c r="C134" t="s">
        <v>314</v>
      </c>
      <c r="D134">
        <v>0</v>
      </c>
      <c r="E134">
        <v>130</v>
      </c>
      <c r="F134">
        <v>15</v>
      </c>
      <c r="G134">
        <v>1</v>
      </c>
      <c r="H134" t="s">
        <v>169</v>
      </c>
    </row>
    <row r="135" spans="1:9" ht="20.100000000000001" customHeight="1" x14ac:dyDescent="0.15">
      <c r="A135">
        <v>15133</v>
      </c>
      <c r="B135" t="s">
        <v>315</v>
      </c>
      <c r="C135" t="s">
        <v>1383</v>
      </c>
      <c r="D135">
        <v>10</v>
      </c>
      <c r="E135">
        <v>49</v>
      </c>
      <c r="F135">
        <v>2</v>
      </c>
      <c r="G135">
        <v>0</v>
      </c>
      <c r="H135" t="s">
        <v>263</v>
      </c>
      <c r="I135">
        <f>ID_945+1</f>
        <v>15</v>
      </c>
    </row>
    <row r="136" spans="1:9" ht="20.100000000000001" hidden="1" customHeight="1" x14ac:dyDescent="0.15">
      <c r="A136">
        <v>15134</v>
      </c>
      <c r="B136" t="s">
        <v>316</v>
      </c>
      <c r="C136" t="s">
        <v>317</v>
      </c>
      <c r="D136">
        <v>1</v>
      </c>
      <c r="E136">
        <v>11</v>
      </c>
      <c r="F136">
        <v>0</v>
      </c>
      <c r="G136">
        <v>0</v>
      </c>
      <c r="H136" t="s">
        <v>263</v>
      </c>
    </row>
    <row r="137" spans="1:9" ht="20.100000000000001" hidden="1" customHeight="1" x14ac:dyDescent="0.15">
      <c r="A137">
        <v>15135</v>
      </c>
      <c r="B137" t="s">
        <v>318</v>
      </c>
      <c r="C137" t="s">
        <v>319</v>
      </c>
      <c r="D137">
        <v>0</v>
      </c>
      <c r="E137">
        <v>530</v>
      </c>
      <c r="F137">
        <v>0</v>
      </c>
      <c r="G137">
        <v>1</v>
      </c>
      <c r="H137" t="s">
        <v>280</v>
      </c>
    </row>
    <row r="138" spans="1:9" ht="20.100000000000001" hidden="1" customHeight="1" x14ac:dyDescent="0.15">
      <c r="A138">
        <v>15136</v>
      </c>
      <c r="B138" t="s">
        <v>320</v>
      </c>
      <c r="C138" t="s">
        <v>321</v>
      </c>
      <c r="D138">
        <v>0</v>
      </c>
      <c r="E138">
        <v>600</v>
      </c>
      <c r="F138">
        <v>0</v>
      </c>
      <c r="G138">
        <v>1</v>
      </c>
      <c r="H138" t="s">
        <v>280</v>
      </c>
    </row>
    <row r="139" spans="1:9" ht="20.100000000000001" hidden="1" customHeight="1" x14ac:dyDescent="0.15">
      <c r="A139">
        <v>15137</v>
      </c>
      <c r="B139" t="s">
        <v>322</v>
      </c>
      <c r="C139" t="s">
        <v>323</v>
      </c>
      <c r="D139">
        <v>0</v>
      </c>
      <c r="E139">
        <v>1</v>
      </c>
      <c r="F139">
        <v>0</v>
      </c>
      <c r="G139">
        <v>0</v>
      </c>
      <c r="H139" t="s">
        <v>263</v>
      </c>
    </row>
    <row r="140" spans="1:9" ht="20.100000000000001" hidden="1" customHeight="1" x14ac:dyDescent="0.15">
      <c r="A140">
        <v>15138</v>
      </c>
      <c r="B140" t="s">
        <v>324</v>
      </c>
      <c r="C140" t="s">
        <v>325</v>
      </c>
      <c r="D140">
        <v>15</v>
      </c>
      <c r="E140">
        <v>30</v>
      </c>
      <c r="F140">
        <v>0</v>
      </c>
      <c r="G140">
        <v>0</v>
      </c>
      <c r="H140" t="s">
        <v>253</v>
      </c>
    </row>
    <row r="141" spans="1:9" ht="20.100000000000001" hidden="1" customHeight="1" x14ac:dyDescent="0.15">
      <c r="A141">
        <v>15139</v>
      </c>
      <c r="B141" t="s">
        <v>326</v>
      </c>
      <c r="C141" t="s">
        <v>327</v>
      </c>
      <c r="D141">
        <v>0</v>
      </c>
      <c r="E141">
        <v>100000</v>
      </c>
      <c r="F141">
        <v>0</v>
      </c>
      <c r="G141">
        <v>1</v>
      </c>
      <c r="H141" t="s">
        <v>169</v>
      </c>
    </row>
    <row r="142" spans="1:9" ht="20.100000000000001" hidden="1" customHeight="1" x14ac:dyDescent="0.15">
      <c r="A142">
        <v>15140</v>
      </c>
      <c r="B142" t="s">
        <v>328</v>
      </c>
      <c r="C142" t="s">
        <v>329</v>
      </c>
      <c r="D142">
        <v>300</v>
      </c>
      <c r="E142">
        <v>1000</v>
      </c>
      <c r="F142">
        <v>0</v>
      </c>
      <c r="G142">
        <v>0</v>
      </c>
      <c r="H142" t="s">
        <v>263</v>
      </c>
    </row>
    <row r="143" spans="1:9" ht="20.100000000000001" hidden="1" customHeight="1" x14ac:dyDescent="0.15">
      <c r="A143">
        <v>15141</v>
      </c>
      <c r="B143" t="s">
        <v>330</v>
      </c>
      <c r="C143" t="s">
        <v>331</v>
      </c>
      <c r="D143">
        <v>10</v>
      </c>
      <c r="E143">
        <v>49</v>
      </c>
      <c r="F143">
        <v>2</v>
      </c>
      <c r="G143">
        <v>0</v>
      </c>
      <c r="H143" t="s">
        <v>263</v>
      </c>
    </row>
    <row r="144" spans="1:9" ht="20.100000000000001" hidden="1" customHeight="1" x14ac:dyDescent="0.15">
      <c r="A144">
        <v>15142</v>
      </c>
      <c r="B144" t="s">
        <v>332</v>
      </c>
      <c r="C144" t="s">
        <v>333</v>
      </c>
      <c r="D144">
        <v>1</v>
      </c>
      <c r="E144">
        <v>11</v>
      </c>
      <c r="F144">
        <v>0</v>
      </c>
      <c r="G144">
        <v>0</v>
      </c>
      <c r="H144" t="s">
        <v>263</v>
      </c>
    </row>
    <row r="145" spans="1:9" ht="20.100000000000001" hidden="1" customHeight="1" x14ac:dyDescent="0.15">
      <c r="A145">
        <v>15143</v>
      </c>
      <c r="B145" t="s">
        <v>334</v>
      </c>
      <c r="C145" t="s">
        <v>335</v>
      </c>
      <c r="D145">
        <v>0</v>
      </c>
      <c r="E145">
        <v>1</v>
      </c>
      <c r="F145">
        <v>0</v>
      </c>
      <c r="G145">
        <v>0</v>
      </c>
      <c r="H145" t="s">
        <v>169</v>
      </c>
    </row>
    <row r="146" spans="1:9" ht="20.100000000000001" hidden="1" customHeight="1" x14ac:dyDescent="0.15">
      <c r="A146">
        <v>15144</v>
      </c>
      <c r="B146" t="s">
        <v>336</v>
      </c>
      <c r="C146" t="s">
        <v>337</v>
      </c>
      <c r="D146">
        <v>0</v>
      </c>
      <c r="E146">
        <v>49</v>
      </c>
      <c r="F146">
        <v>0</v>
      </c>
      <c r="G146">
        <v>0</v>
      </c>
      <c r="H146" t="s">
        <v>169</v>
      </c>
    </row>
    <row r="147" spans="1:9" ht="20.100000000000001" hidden="1" customHeight="1" x14ac:dyDescent="0.15">
      <c r="A147">
        <v>15145</v>
      </c>
      <c r="B147" t="s">
        <v>338</v>
      </c>
      <c r="C147" t="s">
        <v>339</v>
      </c>
      <c r="D147">
        <v>0</v>
      </c>
      <c r="E147">
        <v>49</v>
      </c>
      <c r="F147">
        <v>0</v>
      </c>
      <c r="G147">
        <v>0</v>
      </c>
      <c r="H147" t="s">
        <v>169</v>
      </c>
    </row>
    <row r="148" spans="1:9" ht="20.100000000000001" hidden="1" customHeight="1" x14ac:dyDescent="0.15">
      <c r="A148">
        <v>15146</v>
      </c>
      <c r="B148" t="s">
        <v>340</v>
      </c>
      <c r="C148" t="s">
        <v>341</v>
      </c>
      <c r="D148">
        <v>1</v>
      </c>
      <c r="E148">
        <v>1</v>
      </c>
      <c r="F148">
        <v>0</v>
      </c>
      <c r="G148">
        <v>0</v>
      </c>
      <c r="H148" t="s">
        <v>169</v>
      </c>
    </row>
    <row r="149" spans="1:9" ht="20.100000000000001" hidden="1" customHeight="1" x14ac:dyDescent="0.15">
      <c r="A149">
        <v>15147</v>
      </c>
      <c r="B149" t="s">
        <v>342</v>
      </c>
      <c r="C149" t="s">
        <v>343</v>
      </c>
      <c r="D149">
        <v>2</v>
      </c>
      <c r="E149">
        <v>11</v>
      </c>
      <c r="F149">
        <v>0</v>
      </c>
      <c r="G149">
        <v>0</v>
      </c>
      <c r="H149" t="s">
        <v>263</v>
      </c>
    </row>
    <row r="150" spans="1:9" ht="20.100000000000001" hidden="1" customHeight="1" x14ac:dyDescent="0.15">
      <c r="A150">
        <v>15148</v>
      </c>
      <c r="B150" t="s">
        <v>344</v>
      </c>
      <c r="C150" t="s">
        <v>345</v>
      </c>
      <c r="D150">
        <v>1</v>
      </c>
      <c r="E150">
        <v>1</v>
      </c>
      <c r="F150">
        <v>0</v>
      </c>
      <c r="G150">
        <v>1</v>
      </c>
      <c r="H150" t="s">
        <v>263</v>
      </c>
    </row>
    <row r="151" spans="1:9" ht="20.100000000000001" hidden="1" customHeight="1" x14ac:dyDescent="0.15">
      <c r="A151">
        <v>15149</v>
      </c>
      <c r="B151" t="s">
        <v>346</v>
      </c>
      <c r="C151" t="s">
        <v>347</v>
      </c>
      <c r="D151">
        <v>70</v>
      </c>
      <c r="E151">
        <v>100</v>
      </c>
      <c r="F151">
        <v>0</v>
      </c>
      <c r="G151">
        <v>0</v>
      </c>
      <c r="H151" t="s">
        <v>263</v>
      </c>
    </row>
    <row r="152" spans="1:9" ht="20.100000000000001" customHeight="1" x14ac:dyDescent="0.15">
      <c r="A152">
        <v>15150</v>
      </c>
      <c r="B152" t="s">
        <v>348</v>
      </c>
      <c r="C152" t="s">
        <v>1384</v>
      </c>
      <c r="D152">
        <v>30</v>
      </c>
      <c r="E152">
        <v>100</v>
      </c>
      <c r="F152">
        <v>0</v>
      </c>
      <c r="G152">
        <v>0</v>
      </c>
      <c r="H152" t="s">
        <v>263</v>
      </c>
      <c r="I152">
        <f>ID_105-ID_949</f>
        <v>24</v>
      </c>
    </row>
    <row r="153" spans="1:9" ht="20.100000000000001" hidden="1" customHeight="1" x14ac:dyDescent="0.15">
      <c r="A153">
        <v>15151</v>
      </c>
      <c r="B153" t="s">
        <v>349</v>
      </c>
      <c r="C153" t="s">
        <v>350</v>
      </c>
      <c r="D153">
        <v>0</v>
      </c>
      <c r="E153">
        <v>1</v>
      </c>
      <c r="F153">
        <v>0</v>
      </c>
      <c r="G153">
        <v>1</v>
      </c>
      <c r="H153" t="s">
        <v>263</v>
      </c>
    </row>
    <row r="154" spans="1:9" ht="20.100000000000001" hidden="1" customHeight="1" x14ac:dyDescent="0.15">
      <c r="A154">
        <v>15152</v>
      </c>
      <c r="B154" t="s">
        <v>351</v>
      </c>
      <c r="C154" t="s">
        <v>352</v>
      </c>
      <c r="D154">
        <v>30</v>
      </c>
      <c r="E154">
        <v>100</v>
      </c>
      <c r="F154">
        <v>0</v>
      </c>
      <c r="G154">
        <v>1</v>
      </c>
      <c r="H154" t="s">
        <v>263</v>
      </c>
    </row>
    <row r="155" spans="1:9" ht="20.100000000000001" hidden="1" customHeight="1" x14ac:dyDescent="0.15">
      <c r="A155">
        <v>15153</v>
      </c>
      <c r="B155" t="s">
        <v>353</v>
      </c>
      <c r="C155" t="s">
        <v>354</v>
      </c>
      <c r="D155">
        <v>30</v>
      </c>
      <c r="E155">
        <v>99</v>
      </c>
      <c r="F155">
        <v>0</v>
      </c>
      <c r="G155">
        <v>1</v>
      </c>
      <c r="H155" t="s">
        <v>263</v>
      </c>
    </row>
    <row r="156" spans="1:9" ht="20.100000000000001" hidden="1" customHeight="1" x14ac:dyDescent="0.15">
      <c r="A156">
        <v>15154</v>
      </c>
      <c r="B156" t="s">
        <v>355</v>
      </c>
      <c r="C156" t="s">
        <v>356</v>
      </c>
      <c r="D156">
        <v>0</v>
      </c>
      <c r="E156">
        <v>1</v>
      </c>
      <c r="F156">
        <v>0</v>
      </c>
      <c r="G156">
        <v>1</v>
      </c>
      <c r="H156" t="s">
        <v>263</v>
      </c>
    </row>
    <row r="157" spans="1:9" ht="20.100000000000001" hidden="1" customHeight="1" x14ac:dyDescent="0.15">
      <c r="A157">
        <v>15155</v>
      </c>
      <c r="B157" t="s">
        <v>357</v>
      </c>
      <c r="C157" t="s">
        <v>358</v>
      </c>
      <c r="D157">
        <v>30</v>
      </c>
      <c r="E157">
        <v>100</v>
      </c>
      <c r="F157">
        <v>0</v>
      </c>
      <c r="G157">
        <v>1</v>
      </c>
      <c r="H157" t="s">
        <v>263</v>
      </c>
    </row>
    <row r="158" spans="1:9" ht="20.100000000000001" hidden="1" customHeight="1" x14ac:dyDescent="0.15">
      <c r="A158">
        <v>15156</v>
      </c>
      <c r="B158" t="s">
        <v>359</v>
      </c>
      <c r="C158" t="s">
        <v>360</v>
      </c>
      <c r="D158">
        <v>30</v>
      </c>
      <c r="E158">
        <v>99</v>
      </c>
      <c r="F158">
        <v>0</v>
      </c>
      <c r="G158">
        <v>1</v>
      </c>
      <c r="H158" t="s">
        <v>263</v>
      </c>
    </row>
    <row r="159" spans="1:9" ht="20.100000000000001" hidden="1" customHeight="1" x14ac:dyDescent="0.15">
      <c r="A159">
        <v>15157</v>
      </c>
      <c r="B159" t="s">
        <v>361</v>
      </c>
      <c r="C159" t="s">
        <v>362</v>
      </c>
      <c r="D159">
        <v>0</v>
      </c>
      <c r="E159">
        <v>1</v>
      </c>
      <c r="F159">
        <v>0</v>
      </c>
      <c r="G159">
        <v>0</v>
      </c>
      <c r="H159" t="s">
        <v>263</v>
      </c>
    </row>
    <row r="160" spans="1:9" ht="20.100000000000001" hidden="1" customHeight="1" x14ac:dyDescent="0.15">
      <c r="A160">
        <v>15158</v>
      </c>
      <c r="B160" t="s">
        <v>363</v>
      </c>
      <c r="C160" t="s">
        <v>364</v>
      </c>
      <c r="D160">
        <v>100</v>
      </c>
      <c r="E160">
        <v>500</v>
      </c>
      <c r="F160">
        <v>15</v>
      </c>
      <c r="G160">
        <v>0</v>
      </c>
      <c r="H160" t="s">
        <v>263</v>
      </c>
    </row>
    <row r="161" spans="1:8" ht="20.100000000000001" hidden="1" customHeight="1" x14ac:dyDescent="0.15">
      <c r="A161">
        <v>15159</v>
      </c>
      <c r="B161" t="s">
        <v>365</v>
      </c>
      <c r="C161" t="s">
        <v>366</v>
      </c>
      <c r="D161">
        <v>0</v>
      </c>
      <c r="E161">
        <v>49</v>
      </c>
      <c r="F161">
        <v>0</v>
      </c>
      <c r="G161">
        <v>0</v>
      </c>
      <c r="H161" t="s">
        <v>169</v>
      </c>
    </row>
    <row r="162" spans="1:8" ht="20.100000000000001" hidden="1" customHeight="1" x14ac:dyDescent="0.15">
      <c r="A162">
        <v>15160</v>
      </c>
      <c r="B162" t="s">
        <v>367</v>
      </c>
      <c r="C162" t="s">
        <v>368</v>
      </c>
      <c r="D162">
        <v>0</v>
      </c>
      <c r="E162">
        <v>4000</v>
      </c>
      <c r="F162">
        <v>0</v>
      </c>
      <c r="G162">
        <v>0</v>
      </c>
      <c r="H162" t="s">
        <v>263</v>
      </c>
    </row>
    <row r="163" spans="1:8" ht="20.100000000000001" hidden="1" customHeight="1" x14ac:dyDescent="0.15">
      <c r="A163">
        <v>15161</v>
      </c>
      <c r="B163" t="s">
        <v>369</v>
      </c>
      <c r="C163" t="s">
        <v>370</v>
      </c>
      <c r="D163">
        <v>0</v>
      </c>
      <c r="E163">
        <v>100</v>
      </c>
      <c r="F163">
        <v>0</v>
      </c>
      <c r="G163">
        <v>0</v>
      </c>
      <c r="H163" t="s">
        <v>263</v>
      </c>
    </row>
    <row r="164" spans="1:8" ht="20.100000000000001" hidden="1" customHeight="1" x14ac:dyDescent="0.15">
      <c r="A164">
        <v>15162</v>
      </c>
      <c r="B164" t="s">
        <v>371</v>
      </c>
      <c r="C164" t="s">
        <v>372</v>
      </c>
      <c r="D164">
        <v>5</v>
      </c>
      <c r="E164">
        <v>10</v>
      </c>
      <c r="F164">
        <v>1</v>
      </c>
      <c r="G164">
        <v>0</v>
      </c>
      <c r="H164" t="s">
        <v>166</v>
      </c>
    </row>
    <row r="165" spans="1:8" ht="20.100000000000001" hidden="1" customHeight="1" x14ac:dyDescent="0.15">
      <c r="A165">
        <v>15163</v>
      </c>
      <c r="B165" t="s">
        <v>373</v>
      </c>
      <c r="C165" t="s">
        <v>374</v>
      </c>
      <c r="D165">
        <v>10</v>
      </c>
      <c r="E165">
        <v>100</v>
      </c>
      <c r="F165">
        <v>0</v>
      </c>
      <c r="G165">
        <v>0</v>
      </c>
      <c r="H165" t="s">
        <v>166</v>
      </c>
    </row>
    <row r="166" spans="1:8" ht="20.100000000000001" hidden="1" customHeight="1" x14ac:dyDescent="0.15">
      <c r="A166">
        <v>15164</v>
      </c>
      <c r="B166" t="s">
        <v>375</v>
      </c>
      <c r="C166" t="s">
        <v>376</v>
      </c>
      <c r="D166">
        <v>1</v>
      </c>
      <c r="E166">
        <v>5</v>
      </c>
      <c r="F166">
        <v>1</v>
      </c>
      <c r="G166">
        <v>0</v>
      </c>
      <c r="H166" t="s">
        <v>169</v>
      </c>
    </row>
    <row r="167" spans="1:8" ht="20.100000000000001" hidden="1" customHeight="1" x14ac:dyDescent="0.15">
      <c r="A167">
        <v>15165</v>
      </c>
      <c r="B167" t="s">
        <v>377</v>
      </c>
      <c r="C167" t="s">
        <v>378</v>
      </c>
      <c r="D167">
        <v>35</v>
      </c>
      <c r="E167">
        <v>100</v>
      </c>
      <c r="F167">
        <v>0</v>
      </c>
      <c r="G167">
        <v>0</v>
      </c>
      <c r="H167" t="s">
        <v>263</v>
      </c>
    </row>
    <row r="168" spans="1:8" ht="20.100000000000001" hidden="1" customHeight="1" x14ac:dyDescent="0.15">
      <c r="A168">
        <v>15166</v>
      </c>
      <c r="B168" t="s">
        <v>379</v>
      </c>
      <c r="C168" t="s">
        <v>380</v>
      </c>
      <c r="D168">
        <v>0</v>
      </c>
      <c r="E168">
        <v>200</v>
      </c>
      <c r="F168">
        <v>0</v>
      </c>
      <c r="G168">
        <v>0</v>
      </c>
      <c r="H168" t="s">
        <v>169</v>
      </c>
    </row>
    <row r="169" spans="1:8" ht="20.100000000000001" hidden="1" customHeight="1" x14ac:dyDescent="0.15">
      <c r="A169">
        <v>15167</v>
      </c>
      <c r="B169" t="s">
        <v>381</v>
      </c>
      <c r="C169" t="s">
        <v>382</v>
      </c>
      <c r="D169">
        <v>1</v>
      </c>
      <c r="E169">
        <v>5</v>
      </c>
      <c r="F169">
        <v>1</v>
      </c>
      <c r="G169">
        <v>0</v>
      </c>
      <c r="H169" t="s">
        <v>166</v>
      </c>
    </row>
    <row r="170" spans="1:8" ht="20.100000000000001" hidden="1" customHeight="1" x14ac:dyDescent="0.15">
      <c r="A170">
        <v>15168</v>
      </c>
      <c r="B170" t="s">
        <v>383</v>
      </c>
      <c r="C170" t="s">
        <v>384</v>
      </c>
      <c r="D170">
        <v>0</v>
      </c>
      <c r="E170">
        <v>1000</v>
      </c>
      <c r="F170">
        <v>0</v>
      </c>
      <c r="G170">
        <v>0</v>
      </c>
      <c r="H170" t="s">
        <v>166</v>
      </c>
    </row>
    <row r="171" spans="1:8" ht="20.100000000000001" hidden="1" customHeight="1" x14ac:dyDescent="0.15">
      <c r="A171">
        <v>15169</v>
      </c>
      <c r="B171" t="s">
        <v>385</v>
      </c>
      <c r="C171" t="s">
        <v>386</v>
      </c>
      <c r="D171">
        <v>2</v>
      </c>
      <c r="E171">
        <v>10</v>
      </c>
      <c r="F171">
        <v>1</v>
      </c>
      <c r="G171">
        <v>0</v>
      </c>
      <c r="H171" t="s">
        <v>169</v>
      </c>
    </row>
    <row r="172" spans="1:8" ht="20.100000000000001" hidden="1" customHeight="1" x14ac:dyDescent="0.15">
      <c r="A172">
        <v>15170</v>
      </c>
      <c r="B172" t="s">
        <v>387</v>
      </c>
      <c r="C172" t="s">
        <v>388</v>
      </c>
      <c r="D172">
        <v>15</v>
      </c>
      <c r="E172">
        <v>100</v>
      </c>
      <c r="F172">
        <v>0</v>
      </c>
      <c r="G172">
        <v>0</v>
      </c>
      <c r="H172" t="s">
        <v>263</v>
      </c>
    </row>
    <row r="173" spans="1:8" ht="20.100000000000001" hidden="1" customHeight="1" x14ac:dyDescent="0.15">
      <c r="A173">
        <v>15171</v>
      </c>
      <c r="B173" t="s">
        <v>389</v>
      </c>
      <c r="C173" t="s">
        <v>390</v>
      </c>
      <c r="D173">
        <v>0</v>
      </c>
      <c r="E173">
        <v>1</v>
      </c>
      <c r="F173">
        <v>0</v>
      </c>
      <c r="G173">
        <v>0</v>
      </c>
      <c r="H173" t="s">
        <v>169</v>
      </c>
    </row>
    <row r="174" spans="1:8" ht="20.100000000000001" hidden="1" customHeight="1" x14ac:dyDescent="0.15">
      <c r="A174">
        <v>15172</v>
      </c>
      <c r="B174" t="s">
        <v>391</v>
      </c>
      <c r="C174" t="s">
        <v>392</v>
      </c>
      <c r="D174">
        <v>0</v>
      </c>
      <c r="E174">
        <v>1</v>
      </c>
      <c r="F174">
        <v>0</v>
      </c>
      <c r="G174">
        <v>0</v>
      </c>
      <c r="H174" t="s">
        <v>129</v>
      </c>
    </row>
    <row r="175" spans="1:8" ht="20.100000000000001" hidden="1" customHeight="1" x14ac:dyDescent="0.15">
      <c r="A175">
        <v>15173</v>
      </c>
      <c r="B175" t="s">
        <v>393</v>
      </c>
      <c r="C175" t="s">
        <v>392</v>
      </c>
      <c r="D175">
        <v>0</v>
      </c>
      <c r="E175">
        <v>1</v>
      </c>
      <c r="F175">
        <v>0</v>
      </c>
      <c r="G175">
        <v>0</v>
      </c>
      <c r="H175" t="s">
        <v>129</v>
      </c>
    </row>
    <row r="176" spans="1:8" ht="20.100000000000001" hidden="1" customHeight="1" x14ac:dyDescent="0.15">
      <c r="A176">
        <v>15174</v>
      </c>
      <c r="B176" t="s">
        <v>394</v>
      </c>
      <c r="C176" t="s">
        <v>395</v>
      </c>
      <c r="D176">
        <v>20</v>
      </c>
      <c r="E176">
        <v>100</v>
      </c>
      <c r="F176">
        <v>0</v>
      </c>
      <c r="G176">
        <v>0</v>
      </c>
      <c r="H176" t="s">
        <v>263</v>
      </c>
    </row>
    <row r="177" spans="1:8" ht="20.100000000000001" hidden="1" customHeight="1" x14ac:dyDescent="0.15">
      <c r="A177">
        <v>15175</v>
      </c>
      <c r="B177" t="s">
        <v>396</v>
      </c>
      <c r="C177" t="s">
        <v>392</v>
      </c>
      <c r="D177">
        <v>0</v>
      </c>
      <c r="E177">
        <v>1</v>
      </c>
      <c r="F177">
        <v>0</v>
      </c>
      <c r="G177">
        <v>0</v>
      </c>
      <c r="H177" t="s">
        <v>129</v>
      </c>
    </row>
    <row r="178" spans="1:8" ht="20.100000000000001" hidden="1" customHeight="1" x14ac:dyDescent="0.15">
      <c r="A178">
        <v>15176</v>
      </c>
      <c r="B178" t="s">
        <v>397</v>
      </c>
      <c r="C178" t="s">
        <v>392</v>
      </c>
      <c r="D178">
        <v>0</v>
      </c>
      <c r="E178">
        <v>1</v>
      </c>
      <c r="F178">
        <v>0</v>
      </c>
      <c r="G178">
        <v>0</v>
      </c>
      <c r="H178" t="s">
        <v>129</v>
      </c>
    </row>
    <row r="179" spans="1:8" ht="20.100000000000001" hidden="1" customHeight="1" x14ac:dyDescent="0.15">
      <c r="A179">
        <v>15177</v>
      </c>
      <c r="B179" t="s">
        <v>398</v>
      </c>
      <c r="C179" t="s">
        <v>392</v>
      </c>
      <c r="D179">
        <v>0</v>
      </c>
      <c r="E179">
        <v>1</v>
      </c>
      <c r="F179">
        <v>0</v>
      </c>
      <c r="G179">
        <v>0</v>
      </c>
      <c r="H179" t="s">
        <v>129</v>
      </c>
    </row>
    <row r="180" spans="1:8" ht="20.100000000000001" hidden="1" customHeight="1" x14ac:dyDescent="0.15">
      <c r="A180">
        <v>15178</v>
      </c>
      <c r="B180" t="s">
        <v>399</v>
      </c>
      <c r="C180" t="s">
        <v>400</v>
      </c>
      <c r="D180">
        <v>10</v>
      </c>
      <c r="E180">
        <v>100</v>
      </c>
      <c r="F180">
        <v>0</v>
      </c>
      <c r="G180">
        <v>0</v>
      </c>
      <c r="H180" t="s">
        <v>263</v>
      </c>
    </row>
    <row r="181" spans="1:8" ht="20.100000000000001" hidden="1" customHeight="1" x14ac:dyDescent="0.15">
      <c r="A181">
        <v>15179</v>
      </c>
      <c r="B181" t="s">
        <v>401</v>
      </c>
      <c r="C181" t="s">
        <v>402</v>
      </c>
      <c r="D181">
        <v>0</v>
      </c>
      <c r="E181">
        <v>100</v>
      </c>
      <c r="F181">
        <v>0</v>
      </c>
      <c r="G181">
        <v>0</v>
      </c>
      <c r="H181" t="s">
        <v>263</v>
      </c>
    </row>
    <row r="182" spans="1:8" ht="20.100000000000001" hidden="1" customHeight="1" x14ac:dyDescent="0.15">
      <c r="A182">
        <v>15180</v>
      </c>
      <c r="B182" t="s">
        <v>403</v>
      </c>
      <c r="C182" t="s">
        <v>392</v>
      </c>
      <c r="D182">
        <v>0</v>
      </c>
      <c r="E182">
        <v>1</v>
      </c>
      <c r="F182">
        <v>0</v>
      </c>
      <c r="G182">
        <v>0</v>
      </c>
      <c r="H182" t="s">
        <v>129</v>
      </c>
    </row>
    <row r="183" spans="1:8" ht="20.100000000000001" hidden="1" customHeight="1" x14ac:dyDescent="0.15">
      <c r="A183">
        <v>15181</v>
      </c>
      <c r="B183" t="s">
        <v>404</v>
      </c>
      <c r="C183" t="s">
        <v>392</v>
      </c>
      <c r="D183">
        <v>0</v>
      </c>
      <c r="E183">
        <v>1</v>
      </c>
      <c r="F183">
        <v>0</v>
      </c>
      <c r="G183">
        <v>0</v>
      </c>
      <c r="H183" t="s">
        <v>129</v>
      </c>
    </row>
    <row r="184" spans="1:8" ht="20.100000000000001" hidden="1" customHeight="1" x14ac:dyDescent="0.15">
      <c r="A184">
        <v>15182</v>
      </c>
      <c r="B184" t="s">
        <v>405</v>
      </c>
      <c r="C184" t="s">
        <v>392</v>
      </c>
      <c r="D184">
        <v>0</v>
      </c>
      <c r="E184">
        <v>1</v>
      </c>
      <c r="F184">
        <v>0</v>
      </c>
      <c r="G184">
        <v>0</v>
      </c>
      <c r="H184" t="s">
        <v>129</v>
      </c>
    </row>
    <row r="185" spans="1:8" ht="20.100000000000001" hidden="1" customHeight="1" x14ac:dyDescent="0.15">
      <c r="A185">
        <v>15183</v>
      </c>
      <c r="B185" t="s">
        <v>406</v>
      </c>
      <c r="C185" t="s">
        <v>407</v>
      </c>
      <c r="D185">
        <v>0</v>
      </c>
      <c r="E185">
        <v>100</v>
      </c>
      <c r="F185">
        <v>0</v>
      </c>
      <c r="G185">
        <v>0</v>
      </c>
      <c r="H185" t="s">
        <v>263</v>
      </c>
    </row>
    <row r="186" spans="1:8" ht="20.100000000000001" hidden="1" customHeight="1" x14ac:dyDescent="0.15">
      <c r="A186">
        <v>15184</v>
      </c>
      <c r="B186" t="s">
        <v>408</v>
      </c>
      <c r="C186" t="s">
        <v>409</v>
      </c>
      <c r="D186">
        <v>1000</v>
      </c>
      <c r="E186">
        <v>10000</v>
      </c>
      <c r="F186">
        <v>0</v>
      </c>
      <c r="G186">
        <v>0</v>
      </c>
      <c r="H186" t="s">
        <v>263</v>
      </c>
    </row>
    <row r="187" spans="1:8" ht="20.100000000000001" hidden="1" customHeight="1" x14ac:dyDescent="0.15">
      <c r="A187">
        <v>15185</v>
      </c>
      <c r="B187" t="s">
        <v>410</v>
      </c>
      <c r="C187" t="s">
        <v>411</v>
      </c>
      <c r="D187">
        <v>45</v>
      </c>
      <c r="E187">
        <v>100</v>
      </c>
      <c r="F187">
        <v>0</v>
      </c>
      <c r="G187">
        <v>0</v>
      </c>
      <c r="H187" t="s">
        <v>263</v>
      </c>
    </row>
    <row r="188" spans="1:8" ht="20.100000000000001" hidden="1" customHeight="1" x14ac:dyDescent="0.15">
      <c r="A188">
        <v>15186</v>
      </c>
      <c r="B188" t="s">
        <v>412</v>
      </c>
      <c r="C188" t="s">
        <v>413</v>
      </c>
      <c r="D188">
        <v>20</v>
      </c>
      <c r="E188">
        <v>100</v>
      </c>
      <c r="F188">
        <v>0</v>
      </c>
      <c r="G188">
        <v>0</v>
      </c>
      <c r="H188" t="s">
        <v>169</v>
      </c>
    </row>
    <row r="189" spans="1:8" ht="20.100000000000001" hidden="1" customHeight="1" x14ac:dyDescent="0.15">
      <c r="A189">
        <v>15187</v>
      </c>
      <c r="B189" t="s">
        <v>414</v>
      </c>
      <c r="C189" t="s">
        <v>415</v>
      </c>
      <c r="D189">
        <v>45</v>
      </c>
      <c r="E189">
        <v>100</v>
      </c>
      <c r="F189">
        <v>5</v>
      </c>
      <c r="G189">
        <v>0</v>
      </c>
      <c r="H189" t="s">
        <v>169</v>
      </c>
    </row>
    <row r="190" spans="1:8" ht="20.100000000000001" hidden="1" customHeight="1" x14ac:dyDescent="0.15">
      <c r="A190">
        <v>15188</v>
      </c>
      <c r="B190" t="s">
        <v>416</v>
      </c>
      <c r="C190" t="s">
        <v>417</v>
      </c>
      <c r="D190">
        <v>30</v>
      </c>
      <c r="E190">
        <v>200</v>
      </c>
      <c r="F190">
        <v>0</v>
      </c>
      <c r="G190">
        <v>0</v>
      </c>
      <c r="H190" t="s">
        <v>169</v>
      </c>
    </row>
    <row r="191" spans="1:8" ht="20.100000000000001" hidden="1" customHeight="1" x14ac:dyDescent="0.15">
      <c r="A191">
        <v>15189</v>
      </c>
      <c r="B191" t="s">
        <v>418</v>
      </c>
      <c r="C191" t="s">
        <v>419</v>
      </c>
      <c r="D191">
        <v>0</v>
      </c>
      <c r="E191">
        <v>1</v>
      </c>
      <c r="F191">
        <v>0</v>
      </c>
      <c r="G191">
        <v>0</v>
      </c>
      <c r="H191" t="s">
        <v>420</v>
      </c>
    </row>
    <row r="192" spans="1:8" ht="20.100000000000001" hidden="1" customHeight="1" x14ac:dyDescent="0.15">
      <c r="A192">
        <v>15190</v>
      </c>
      <c r="B192" t="s">
        <v>421</v>
      </c>
      <c r="C192" t="s">
        <v>422</v>
      </c>
      <c r="D192">
        <v>2000</v>
      </c>
      <c r="E192">
        <v>15000</v>
      </c>
      <c r="F192">
        <v>0</v>
      </c>
      <c r="G192">
        <v>0</v>
      </c>
      <c r="H192" t="s">
        <v>263</v>
      </c>
    </row>
    <row r="193" spans="1:8" ht="20.100000000000001" hidden="1" customHeight="1" x14ac:dyDescent="0.15">
      <c r="A193">
        <v>15191</v>
      </c>
      <c r="B193" t="s">
        <v>423</v>
      </c>
      <c r="C193" t="s">
        <v>424</v>
      </c>
      <c r="D193">
        <v>30</v>
      </c>
      <c r="E193">
        <v>50</v>
      </c>
      <c r="F193">
        <v>10</v>
      </c>
      <c r="G193">
        <v>0</v>
      </c>
      <c r="H193" t="s">
        <v>263</v>
      </c>
    </row>
    <row r="194" spans="1:8" ht="20.100000000000001" hidden="1" customHeight="1" x14ac:dyDescent="0.15">
      <c r="A194">
        <v>15192</v>
      </c>
      <c r="B194" t="s">
        <v>425</v>
      </c>
      <c r="C194" t="s">
        <v>426</v>
      </c>
      <c r="D194">
        <v>30</v>
      </c>
      <c r="E194">
        <v>80</v>
      </c>
      <c r="F194">
        <v>0</v>
      </c>
      <c r="G194">
        <v>1</v>
      </c>
      <c r="H194" t="s">
        <v>263</v>
      </c>
    </row>
    <row r="195" spans="1:8" ht="20.100000000000001" hidden="1" customHeight="1" x14ac:dyDescent="0.15">
      <c r="A195">
        <v>15193</v>
      </c>
      <c r="B195" t="s">
        <v>427</v>
      </c>
      <c r="C195" t="s">
        <v>428</v>
      </c>
      <c r="D195">
        <v>2000</v>
      </c>
      <c r="E195">
        <v>60000</v>
      </c>
      <c r="F195">
        <v>0</v>
      </c>
      <c r="G195">
        <v>1</v>
      </c>
      <c r="H195" t="s">
        <v>263</v>
      </c>
    </row>
    <row r="196" spans="1:8" ht="20.100000000000001" hidden="1" customHeight="1" x14ac:dyDescent="0.15">
      <c r="A196">
        <v>15194</v>
      </c>
      <c r="B196" t="s">
        <v>429</v>
      </c>
      <c r="C196" t="s">
        <v>430</v>
      </c>
      <c r="D196">
        <v>0</v>
      </c>
      <c r="E196">
        <v>1</v>
      </c>
      <c r="F196">
        <v>0</v>
      </c>
      <c r="G196">
        <v>0</v>
      </c>
      <c r="H196" t="s">
        <v>263</v>
      </c>
    </row>
    <row r="197" spans="1:8" ht="20.100000000000001" hidden="1" customHeight="1" x14ac:dyDescent="0.15">
      <c r="A197">
        <v>15195</v>
      </c>
      <c r="B197" t="s">
        <v>431</v>
      </c>
      <c r="C197" t="s">
        <v>432</v>
      </c>
      <c r="D197">
        <v>1</v>
      </c>
      <c r="E197">
        <v>1</v>
      </c>
      <c r="F197">
        <v>0</v>
      </c>
      <c r="G197">
        <v>0</v>
      </c>
      <c r="H197" t="s">
        <v>169</v>
      </c>
    </row>
    <row r="198" spans="1:8" ht="20.100000000000001" hidden="1" customHeight="1" x14ac:dyDescent="0.15">
      <c r="A198">
        <v>15196</v>
      </c>
      <c r="B198" t="s">
        <v>433</v>
      </c>
      <c r="C198" t="s">
        <v>434</v>
      </c>
      <c r="D198">
        <v>0</v>
      </c>
      <c r="E198">
        <v>1</v>
      </c>
      <c r="F198">
        <v>0</v>
      </c>
      <c r="G198">
        <v>1</v>
      </c>
      <c r="H198" t="s">
        <v>263</v>
      </c>
    </row>
    <row r="199" spans="1:8" ht="20.100000000000001" hidden="1" customHeight="1" x14ac:dyDescent="0.15">
      <c r="A199">
        <v>15197</v>
      </c>
      <c r="B199" t="s">
        <v>435</v>
      </c>
      <c r="C199" t="s">
        <v>436</v>
      </c>
      <c r="D199">
        <v>0</v>
      </c>
      <c r="E199">
        <v>100</v>
      </c>
      <c r="F199">
        <v>0</v>
      </c>
      <c r="G199">
        <v>1</v>
      </c>
      <c r="H199" t="s">
        <v>263</v>
      </c>
    </row>
    <row r="200" spans="1:8" ht="20.100000000000001" hidden="1" customHeight="1" x14ac:dyDescent="0.15">
      <c r="A200">
        <v>15198</v>
      </c>
      <c r="B200" t="s">
        <v>437</v>
      </c>
      <c r="C200" t="s">
        <v>438</v>
      </c>
      <c r="D200">
        <v>0</v>
      </c>
      <c r="E200">
        <v>99</v>
      </c>
      <c r="F200">
        <v>0</v>
      </c>
      <c r="G200">
        <v>1</v>
      </c>
      <c r="H200" t="s">
        <v>263</v>
      </c>
    </row>
    <row r="201" spans="1:8" ht="20.100000000000001" hidden="1" customHeight="1" x14ac:dyDescent="0.15">
      <c r="A201">
        <v>15199</v>
      </c>
      <c r="B201" t="s">
        <v>439</v>
      </c>
      <c r="C201" t="s">
        <v>440</v>
      </c>
      <c r="D201">
        <v>0</v>
      </c>
      <c r="E201">
        <v>1</v>
      </c>
      <c r="F201">
        <v>0</v>
      </c>
      <c r="G201">
        <v>1</v>
      </c>
      <c r="H201" t="s">
        <v>263</v>
      </c>
    </row>
    <row r="202" spans="1:8" ht="20.100000000000001" hidden="1" customHeight="1" x14ac:dyDescent="0.15">
      <c r="A202">
        <v>15200</v>
      </c>
      <c r="B202" t="s">
        <v>441</v>
      </c>
      <c r="C202" t="s">
        <v>442</v>
      </c>
      <c r="D202">
        <v>0</v>
      </c>
      <c r="E202">
        <v>1</v>
      </c>
      <c r="F202">
        <v>0</v>
      </c>
      <c r="G202">
        <v>1</v>
      </c>
      <c r="H202" t="s">
        <v>263</v>
      </c>
    </row>
    <row r="203" spans="1:8" ht="20.100000000000001" hidden="1" customHeight="1" x14ac:dyDescent="0.15">
      <c r="A203">
        <v>15201</v>
      </c>
      <c r="B203" t="s">
        <v>443</v>
      </c>
      <c r="C203" t="s">
        <v>444</v>
      </c>
      <c r="D203">
        <v>0</v>
      </c>
      <c r="E203">
        <v>60000</v>
      </c>
      <c r="F203">
        <v>0</v>
      </c>
      <c r="G203">
        <v>0</v>
      </c>
      <c r="H203" t="s">
        <v>263</v>
      </c>
    </row>
    <row r="204" spans="1:8" ht="20.100000000000001" hidden="1" customHeight="1" x14ac:dyDescent="0.15">
      <c r="A204">
        <v>15202</v>
      </c>
      <c r="B204" t="s">
        <v>445</v>
      </c>
      <c r="C204" t="s">
        <v>446</v>
      </c>
      <c r="D204">
        <v>0</v>
      </c>
      <c r="E204">
        <v>60</v>
      </c>
      <c r="F204">
        <v>0</v>
      </c>
      <c r="G204">
        <v>0</v>
      </c>
      <c r="H204" t="s">
        <v>263</v>
      </c>
    </row>
    <row r="205" spans="1:8" ht="20.100000000000001" hidden="1" customHeight="1" x14ac:dyDescent="0.15">
      <c r="A205">
        <v>15203</v>
      </c>
      <c r="B205" t="s">
        <v>447</v>
      </c>
      <c r="C205" t="s">
        <v>448</v>
      </c>
      <c r="D205">
        <v>100</v>
      </c>
      <c r="E205">
        <v>1000</v>
      </c>
      <c r="F205">
        <v>0</v>
      </c>
      <c r="G205">
        <v>1</v>
      </c>
      <c r="H205" t="s">
        <v>263</v>
      </c>
    </row>
    <row r="206" spans="1:8" ht="20.100000000000001" hidden="1" customHeight="1" x14ac:dyDescent="0.15">
      <c r="A206">
        <v>15204</v>
      </c>
      <c r="B206" t="s">
        <v>449</v>
      </c>
      <c r="C206" t="s">
        <v>450</v>
      </c>
      <c r="D206">
        <v>1</v>
      </c>
      <c r="E206">
        <v>1</v>
      </c>
      <c r="F206">
        <v>0</v>
      </c>
      <c r="G206">
        <v>0</v>
      </c>
      <c r="H206" t="s">
        <v>263</v>
      </c>
    </row>
    <row r="207" spans="1:8" ht="20.100000000000001" hidden="1" customHeight="1" x14ac:dyDescent="0.15">
      <c r="A207">
        <v>15205</v>
      </c>
      <c r="B207" t="s">
        <v>451</v>
      </c>
      <c r="C207" t="s">
        <v>452</v>
      </c>
      <c r="D207">
        <v>30</v>
      </c>
      <c r="E207">
        <v>100</v>
      </c>
      <c r="F207">
        <v>0</v>
      </c>
      <c r="G207">
        <v>0</v>
      </c>
      <c r="H207" t="s">
        <v>263</v>
      </c>
    </row>
    <row r="208" spans="1:8" ht="20.100000000000001" hidden="1" customHeight="1" x14ac:dyDescent="0.15">
      <c r="A208">
        <v>15206</v>
      </c>
      <c r="B208" t="s">
        <v>453</v>
      </c>
      <c r="C208" t="s">
        <v>392</v>
      </c>
      <c r="D208">
        <v>0</v>
      </c>
      <c r="E208">
        <v>1</v>
      </c>
      <c r="F208">
        <v>0</v>
      </c>
      <c r="G208">
        <v>0</v>
      </c>
      <c r="H208" t="s">
        <v>129</v>
      </c>
    </row>
    <row r="209" spans="1:8" ht="20.100000000000001" hidden="1" customHeight="1" x14ac:dyDescent="0.15">
      <c r="A209">
        <v>15207</v>
      </c>
      <c r="B209" t="s">
        <v>454</v>
      </c>
      <c r="C209" t="s">
        <v>455</v>
      </c>
      <c r="D209">
        <v>25</v>
      </c>
      <c r="E209">
        <v>100</v>
      </c>
      <c r="F209">
        <v>0</v>
      </c>
      <c r="G209">
        <v>0</v>
      </c>
      <c r="H209" t="s">
        <v>263</v>
      </c>
    </row>
    <row r="210" spans="1:8" ht="20.100000000000001" hidden="1" customHeight="1" x14ac:dyDescent="0.15">
      <c r="A210">
        <v>15208</v>
      </c>
      <c r="B210" t="s">
        <v>456</v>
      </c>
      <c r="C210" t="s">
        <v>457</v>
      </c>
      <c r="D210">
        <v>30</v>
      </c>
      <c r="E210">
        <v>100</v>
      </c>
      <c r="F210">
        <v>0</v>
      </c>
      <c r="G210">
        <v>0</v>
      </c>
      <c r="H210" t="s">
        <v>263</v>
      </c>
    </row>
    <row r="211" spans="1:8" ht="20.100000000000001" hidden="1" customHeight="1" x14ac:dyDescent="0.15">
      <c r="A211">
        <v>15209</v>
      </c>
      <c r="B211" t="s">
        <v>458</v>
      </c>
      <c r="C211" t="s">
        <v>459</v>
      </c>
      <c r="D211">
        <v>30</v>
      </c>
      <c r="E211">
        <v>100</v>
      </c>
      <c r="F211">
        <v>0</v>
      </c>
      <c r="G211">
        <v>0</v>
      </c>
      <c r="H211" t="s">
        <v>263</v>
      </c>
    </row>
    <row r="212" spans="1:8" ht="20.100000000000001" hidden="1" customHeight="1" x14ac:dyDescent="0.15">
      <c r="A212">
        <v>15210</v>
      </c>
      <c r="B212" t="s">
        <v>460</v>
      </c>
      <c r="C212" t="s">
        <v>461</v>
      </c>
      <c r="D212">
        <v>30</v>
      </c>
      <c r="E212">
        <v>100</v>
      </c>
      <c r="F212">
        <v>0</v>
      </c>
      <c r="G212">
        <v>0</v>
      </c>
      <c r="H212" t="s">
        <v>263</v>
      </c>
    </row>
    <row r="213" spans="1:8" ht="20.100000000000001" hidden="1" customHeight="1" x14ac:dyDescent="0.15">
      <c r="A213">
        <v>15211</v>
      </c>
      <c r="B213" t="s">
        <v>462</v>
      </c>
      <c r="C213" t="s">
        <v>463</v>
      </c>
      <c r="D213">
        <v>30</v>
      </c>
      <c r="E213">
        <v>100</v>
      </c>
      <c r="F213">
        <v>0</v>
      </c>
      <c r="G213">
        <v>1</v>
      </c>
      <c r="H213" t="s">
        <v>263</v>
      </c>
    </row>
    <row r="214" spans="1:8" ht="20.100000000000001" hidden="1" customHeight="1" x14ac:dyDescent="0.15">
      <c r="A214">
        <v>15212</v>
      </c>
      <c r="B214" t="s">
        <v>464</v>
      </c>
      <c r="C214" t="s">
        <v>465</v>
      </c>
      <c r="D214">
        <v>0</v>
      </c>
      <c r="E214">
        <v>20</v>
      </c>
      <c r="F214">
        <v>0</v>
      </c>
      <c r="G214">
        <v>0</v>
      </c>
      <c r="H214" t="s">
        <v>253</v>
      </c>
    </row>
    <row r="215" spans="1:8" ht="20.100000000000001" hidden="1" customHeight="1" x14ac:dyDescent="0.15">
      <c r="A215">
        <v>15213</v>
      </c>
      <c r="B215" t="s">
        <v>466</v>
      </c>
      <c r="C215" t="s">
        <v>467</v>
      </c>
      <c r="D215">
        <v>0</v>
      </c>
      <c r="E215">
        <v>1</v>
      </c>
      <c r="F215">
        <v>0</v>
      </c>
      <c r="G215">
        <v>1</v>
      </c>
      <c r="H215" t="s">
        <v>263</v>
      </c>
    </row>
    <row r="216" spans="1:8" ht="20.100000000000001" hidden="1" customHeight="1" x14ac:dyDescent="0.15">
      <c r="A216">
        <v>15214</v>
      </c>
      <c r="B216" t="s">
        <v>468</v>
      </c>
      <c r="C216" t="s">
        <v>469</v>
      </c>
      <c r="D216">
        <v>30</v>
      </c>
      <c r="E216">
        <v>100</v>
      </c>
      <c r="F216">
        <v>0</v>
      </c>
      <c r="G216">
        <v>1</v>
      </c>
      <c r="H216" t="s">
        <v>263</v>
      </c>
    </row>
    <row r="217" spans="1:8" ht="20.100000000000001" hidden="1" customHeight="1" x14ac:dyDescent="0.15">
      <c r="A217">
        <v>15215</v>
      </c>
      <c r="B217" t="s">
        <v>470</v>
      </c>
      <c r="C217" t="s">
        <v>471</v>
      </c>
      <c r="D217">
        <v>30</v>
      </c>
      <c r="E217">
        <v>99</v>
      </c>
      <c r="F217">
        <v>0</v>
      </c>
      <c r="G217">
        <v>1</v>
      </c>
      <c r="H217" t="s">
        <v>263</v>
      </c>
    </row>
    <row r="218" spans="1:8" ht="20.100000000000001" hidden="1" customHeight="1" x14ac:dyDescent="0.15">
      <c r="A218">
        <v>15216</v>
      </c>
      <c r="B218" t="s">
        <v>472</v>
      </c>
      <c r="C218" t="s">
        <v>473</v>
      </c>
      <c r="D218">
        <v>0</v>
      </c>
      <c r="E218">
        <v>1</v>
      </c>
      <c r="F218">
        <v>0</v>
      </c>
      <c r="G218">
        <v>1</v>
      </c>
      <c r="H218" t="s">
        <v>263</v>
      </c>
    </row>
    <row r="219" spans="1:8" ht="20.100000000000001" hidden="1" customHeight="1" x14ac:dyDescent="0.15">
      <c r="A219">
        <v>15217</v>
      </c>
      <c r="B219" t="s">
        <v>474</v>
      </c>
      <c r="C219" t="s">
        <v>475</v>
      </c>
      <c r="D219">
        <v>30</v>
      </c>
      <c r="E219">
        <v>100</v>
      </c>
      <c r="F219">
        <v>0</v>
      </c>
      <c r="G219">
        <v>1</v>
      </c>
      <c r="H219" t="s">
        <v>263</v>
      </c>
    </row>
    <row r="220" spans="1:8" ht="20.100000000000001" hidden="1" customHeight="1" x14ac:dyDescent="0.15">
      <c r="A220">
        <v>15218</v>
      </c>
      <c r="B220" t="s">
        <v>476</v>
      </c>
      <c r="C220" t="s">
        <v>477</v>
      </c>
      <c r="D220">
        <v>30</v>
      </c>
      <c r="E220">
        <v>99</v>
      </c>
      <c r="F220">
        <v>0</v>
      </c>
      <c r="G220">
        <v>1</v>
      </c>
      <c r="H220" t="s">
        <v>263</v>
      </c>
    </row>
    <row r="221" spans="1:8" ht="20.100000000000001" hidden="1" customHeight="1" x14ac:dyDescent="0.15">
      <c r="A221">
        <v>15219</v>
      </c>
      <c r="B221" t="s">
        <v>478</v>
      </c>
      <c r="C221" t="s">
        <v>479</v>
      </c>
      <c r="D221">
        <v>0</v>
      </c>
      <c r="E221">
        <v>1</v>
      </c>
      <c r="F221">
        <v>0</v>
      </c>
      <c r="G221">
        <v>1</v>
      </c>
      <c r="H221" t="s">
        <v>263</v>
      </c>
    </row>
    <row r="222" spans="1:8" ht="20.100000000000001" hidden="1" customHeight="1" x14ac:dyDescent="0.15">
      <c r="A222">
        <v>15220</v>
      </c>
      <c r="B222" t="s">
        <v>480</v>
      </c>
      <c r="C222" t="s">
        <v>481</v>
      </c>
      <c r="D222">
        <v>30</v>
      </c>
      <c r="E222">
        <v>100</v>
      </c>
      <c r="F222">
        <v>0</v>
      </c>
      <c r="G222">
        <v>1</v>
      </c>
      <c r="H222" t="s">
        <v>263</v>
      </c>
    </row>
    <row r="223" spans="1:8" ht="20.100000000000001" hidden="1" customHeight="1" x14ac:dyDescent="0.15">
      <c r="A223">
        <v>15221</v>
      </c>
      <c r="B223" t="s">
        <v>482</v>
      </c>
      <c r="C223" t="s">
        <v>483</v>
      </c>
      <c r="D223">
        <v>30</v>
      </c>
      <c r="E223">
        <v>99</v>
      </c>
      <c r="F223">
        <v>0</v>
      </c>
      <c r="G223">
        <v>1</v>
      </c>
      <c r="H223" t="s">
        <v>263</v>
      </c>
    </row>
    <row r="224" spans="1:8" ht="20.100000000000001" hidden="1" customHeight="1" x14ac:dyDescent="0.15">
      <c r="A224">
        <v>15222</v>
      </c>
      <c r="B224" t="s">
        <v>484</v>
      </c>
      <c r="C224" t="s">
        <v>485</v>
      </c>
      <c r="D224">
        <v>0</v>
      </c>
      <c r="E224">
        <v>1</v>
      </c>
      <c r="F224">
        <v>0</v>
      </c>
      <c r="G224">
        <v>1</v>
      </c>
      <c r="H224" t="s">
        <v>263</v>
      </c>
    </row>
    <row r="225" spans="1:8" ht="20.100000000000001" hidden="1" customHeight="1" x14ac:dyDescent="0.15">
      <c r="A225">
        <v>15223</v>
      </c>
      <c r="B225" t="s">
        <v>486</v>
      </c>
      <c r="C225" t="s">
        <v>487</v>
      </c>
      <c r="D225">
        <v>30</v>
      </c>
      <c r="E225">
        <v>100</v>
      </c>
      <c r="F225">
        <v>0</v>
      </c>
      <c r="G225">
        <v>1</v>
      </c>
      <c r="H225" t="s">
        <v>263</v>
      </c>
    </row>
    <row r="226" spans="1:8" ht="20.100000000000001" hidden="1" customHeight="1" x14ac:dyDescent="0.15">
      <c r="A226">
        <v>15224</v>
      </c>
      <c r="B226" t="s">
        <v>488</v>
      </c>
      <c r="C226" t="s">
        <v>489</v>
      </c>
      <c r="D226">
        <v>30</v>
      </c>
      <c r="E226">
        <v>99</v>
      </c>
      <c r="F226">
        <v>0</v>
      </c>
      <c r="G226">
        <v>1</v>
      </c>
      <c r="H226" t="s">
        <v>263</v>
      </c>
    </row>
    <row r="227" spans="1:8" ht="20.100000000000001" hidden="1" customHeight="1" x14ac:dyDescent="0.15">
      <c r="A227">
        <v>15225</v>
      </c>
      <c r="B227" t="s">
        <v>490</v>
      </c>
      <c r="C227" t="s">
        <v>491</v>
      </c>
      <c r="D227">
        <v>30</v>
      </c>
      <c r="E227">
        <v>100</v>
      </c>
      <c r="F227">
        <v>0</v>
      </c>
      <c r="G227">
        <v>0</v>
      </c>
      <c r="H227" t="s">
        <v>263</v>
      </c>
    </row>
    <row r="228" spans="1:8" ht="20.100000000000001" hidden="1" customHeight="1" x14ac:dyDescent="0.15">
      <c r="A228">
        <v>15226</v>
      </c>
      <c r="B228" t="s">
        <v>492</v>
      </c>
      <c r="C228" t="s">
        <v>493</v>
      </c>
      <c r="D228">
        <v>2</v>
      </c>
      <c r="E228">
        <v>10</v>
      </c>
      <c r="F228">
        <v>0</v>
      </c>
      <c r="G228">
        <v>0</v>
      </c>
      <c r="H228" t="s">
        <v>263</v>
      </c>
    </row>
    <row r="229" spans="1:8" ht="20.100000000000001" hidden="1" customHeight="1" x14ac:dyDescent="0.15">
      <c r="A229">
        <v>15227</v>
      </c>
      <c r="B229" t="s">
        <v>494</v>
      </c>
      <c r="C229" t="s">
        <v>495</v>
      </c>
      <c r="D229">
        <v>1</v>
      </c>
      <c r="E229">
        <v>5</v>
      </c>
      <c r="F229">
        <v>1</v>
      </c>
      <c r="G229">
        <v>0</v>
      </c>
      <c r="H229" t="s">
        <v>263</v>
      </c>
    </row>
    <row r="230" spans="1:8" ht="20.100000000000001" hidden="1" customHeight="1" x14ac:dyDescent="0.15">
      <c r="A230">
        <v>15228</v>
      </c>
      <c r="B230" t="s">
        <v>496</v>
      </c>
      <c r="C230" t="s">
        <v>497</v>
      </c>
      <c r="D230">
        <v>0</v>
      </c>
      <c r="E230">
        <v>100</v>
      </c>
      <c r="F230">
        <v>0</v>
      </c>
      <c r="G230">
        <v>0</v>
      </c>
      <c r="H230" t="s">
        <v>263</v>
      </c>
    </row>
    <row r="231" spans="1:8" ht="20.100000000000001" hidden="1" customHeight="1" x14ac:dyDescent="0.15">
      <c r="A231">
        <v>15229</v>
      </c>
      <c r="B231" t="s">
        <v>498</v>
      </c>
      <c r="C231" t="s">
        <v>499</v>
      </c>
      <c r="D231">
        <v>5</v>
      </c>
      <c r="E231">
        <v>100</v>
      </c>
      <c r="F231">
        <v>0</v>
      </c>
      <c r="G231">
        <v>0</v>
      </c>
      <c r="H231" t="s">
        <v>263</v>
      </c>
    </row>
    <row r="232" spans="1:8" ht="20.100000000000001" hidden="1" customHeight="1" x14ac:dyDescent="0.15">
      <c r="A232">
        <v>15230</v>
      </c>
      <c r="B232" t="s">
        <v>500</v>
      </c>
      <c r="C232" t="s">
        <v>501</v>
      </c>
      <c r="D232">
        <v>0</v>
      </c>
      <c r="E232">
        <v>100</v>
      </c>
      <c r="F232">
        <v>0</v>
      </c>
      <c r="G232">
        <v>0</v>
      </c>
      <c r="H232" t="s">
        <v>263</v>
      </c>
    </row>
    <row r="233" spans="1:8" ht="20.100000000000001" hidden="1" customHeight="1" x14ac:dyDescent="0.15">
      <c r="A233">
        <v>15231</v>
      </c>
      <c r="B233" t="s">
        <v>502</v>
      </c>
      <c r="C233" t="s">
        <v>503</v>
      </c>
      <c r="D233">
        <v>5</v>
      </c>
      <c r="E233">
        <v>100</v>
      </c>
      <c r="F233">
        <v>0</v>
      </c>
      <c r="G233">
        <v>0</v>
      </c>
      <c r="H233" t="s">
        <v>263</v>
      </c>
    </row>
    <row r="234" spans="1:8" ht="20.100000000000001" hidden="1" customHeight="1" x14ac:dyDescent="0.15">
      <c r="A234">
        <v>15232</v>
      </c>
      <c r="B234" t="s">
        <v>504</v>
      </c>
      <c r="C234" t="s">
        <v>505</v>
      </c>
      <c r="D234">
        <v>0</v>
      </c>
      <c r="E234">
        <v>100</v>
      </c>
      <c r="F234">
        <v>0</v>
      </c>
      <c r="G234">
        <v>0</v>
      </c>
      <c r="H234" t="s">
        <v>263</v>
      </c>
    </row>
    <row r="235" spans="1:8" ht="20.100000000000001" hidden="1" customHeight="1" x14ac:dyDescent="0.15">
      <c r="A235">
        <v>15233</v>
      </c>
      <c r="B235" t="s">
        <v>506</v>
      </c>
      <c r="C235" t="s">
        <v>507</v>
      </c>
      <c r="D235">
        <v>5</v>
      </c>
      <c r="E235">
        <v>100</v>
      </c>
      <c r="F235">
        <v>0</v>
      </c>
      <c r="G235">
        <v>0</v>
      </c>
      <c r="H235" t="s">
        <v>263</v>
      </c>
    </row>
    <row r="236" spans="1:8" ht="20.100000000000001" hidden="1" customHeight="1" x14ac:dyDescent="0.15">
      <c r="A236">
        <v>15234</v>
      </c>
      <c r="B236" t="s">
        <v>508</v>
      </c>
      <c r="C236" t="s">
        <v>509</v>
      </c>
      <c r="D236">
        <v>0</v>
      </c>
      <c r="E236">
        <v>100</v>
      </c>
      <c r="F236">
        <v>0</v>
      </c>
      <c r="G236">
        <v>0</v>
      </c>
      <c r="H236" t="s">
        <v>263</v>
      </c>
    </row>
    <row r="237" spans="1:8" ht="20.100000000000001" hidden="1" customHeight="1" x14ac:dyDescent="0.15">
      <c r="A237">
        <v>15235</v>
      </c>
      <c r="B237" t="s">
        <v>510</v>
      </c>
      <c r="C237" t="s">
        <v>511</v>
      </c>
      <c r="D237">
        <v>5</v>
      </c>
      <c r="E237">
        <v>100</v>
      </c>
      <c r="F237">
        <v>0</v>
      </c>
      <c r="G237">
        <v>0</v>
      </c>
      <c r="H237" t="s">
        <v>263</v>
      </c>
    </row>
    <row r="238" spans="1:8" ht="20.100000000000001" hidden="1" customHeight="1" x14ac:dyDescent="0.15">
      <c r="A238">
        <v>15236</v>
      </c>
      <c r="B238" t="s">
        <v>512</v>
      </c>
      <c r="C238" t="s">
        <v>513</v>
      </c>
      <c r="D238">
        <v>1</v>
      </c>
      <c r="E238">
        <v>5</v>
      </c>
      <c r="F238">
        <v>1</v>
      </c>
      <c r="G238">
        <v>0</v>
      </c>
      <c r="H238" t="s">
        <v>263</v>
      </c>
    </row>
    <row r="239" spans="1:8" ht="20.100000000000001" hidden="1" customHeight="1" x14ac:dyDescent="0.15">
      <c r="A239">
        <v>15237</v>
      </c>
      <c r="B239" t="s">
        <v>514</v>
      </c>
      <c r="C239" t="s">
        <v>515</v>
      </c>
      <c r="D239">
        <v>5</v>
      </c>
      <c r="E239">
        <v>100</v>
      </c>
      <c r="F239">
        <v>0</v>
      </c>
      <c r="G239">
        <v>0</v>
      </c>
      <c r="H239" t="s">
        <v>263</v>
      </c>
    </row>
    <row r="240" spans="1:8" ht="20.100000000000001" hidden="1" customHeight="1" x14ac:dyDescent="0.15">
      <c r="A240">
        <v>15238</v>
      </c>
      <c r="B240" t="s">
        <v>516</v>
      </c>
      <c r="C240" t="s">
        <v>517</v>
      </c>
      <c r="D240">
        <v>0</v>
      </c>
      <c r="E240">
        <v>100</v>
      </c>
      <c r="F240">
        <v>0</v>
      </c>
      <c r="G240">
        <v>0</v>
      </c>
      <c r="H240" t="s">
        <v>263</v>
      </c>
    </row>
    <row r="241" spans="1:9" ht="20.100000000000001" hidden="1" customHeight="1" x14ac:dyDescent="0.15">
      <c r="A241">
        <v>15239</v>
      </c>
      <c r="B241" t="s">
        <v>518</v>
      </c>
      <c r="C241" t="s">
        <v>519</v>
      </c>
      <c r="D241">
        <v>5</v>
      </c>
      <c r="E241">
        <v>100</v>
      </c>
      <c r="F241">
        <v>5</v>
      </c>
      <c r="G241">
        <v>0</v>
      </c>
      <c r="H241" t="s">
        <v>263</v>
      </c>
    </row>
    <row r="242" spans="1:9" ht="20.100000000000001" hidden="1" customHeight="1" x14ac:dyDescent="0.15">
      <c r="A242">
        <v>15240</v>
      </c>
      <c r="B242" t="s">
        <v>520</v>
      </c>
      <c r="C242" t="s">
        <v>521</v>
      </c>
      <c r="D242">
        <v>0</v>
      </c>
      <c r="E242">
        <v>100</v>
      </c>
      <c r="F242">
        <v>0</v>
      </c>
      <c r="G242">
        <v>0</v>
      </c>
      <c r="H242" t="s">
        <v>263</v>
      </c>
    </row>
    <row r="243" spans="1:9" ht="20.100000000000001" hidden="1" customHeight="1" x14ac:dyDescent="0.15">
      <c r="A243">
        <v>15241</v>
      </c>
      <c r="B243" t="s">
        <v>522</v>
      </c>
      <c r="C243" t="s">
        <v>523</v>
      </c>
      <c r="D243">
        <v>5</v>
      </c>
      <c r="E243">
        <v>100</v>
      </c>
      <c r="F243">
        <v>5</v>
      </c>
      <c r="G243">
        <v>0</v>
      </c>
      <c r="H243" t="s">
        <v>263</v>
      </c>
    </row>
    <row r="244" spans="1:9" ht="20.100000000000001" hidden="1" customHeight="1" x14ac:dyDescent="0.15">
      <c r="A244">
        <v>15242</v>
      </c>
      <c r="B244" t="s">
        <v>524</v>
      </c>
      <c r="C244" t="s">
        <v>525</v>
      </c>
      <c r="D244">
        <v>0</v>
      </c>
      <c r="E244">
        <v>100</v>
      </c>
      <c r="F244">
        <v>0</v>
      </c>
      <c r="G244">
        <v>0</v>
      </c>
      <c r="H244" t="s">
        <v>263</v>
      </c>
    </row>
    <row r="245" spans="1:9" ht="20.100000000000001" hidden="1" customHeight="1" x14ac:dyDescent="0.15">
      <c r="A245">
        <v>15243</v>
      </c>
      <c r="B245" t="s">
        <v>526</v>
      </c>
      <c r="C245" t="s">
        <v>527</v>
      </c>
      <c r="D245">
        <v>5</v>
      </c>
      <c r="E245">
        <v>100</v>
      </c>
      <c r="F245">
        <v>5</v>
      </c>
      <c r="G245">
        <v>0</v>
      </c>
      <c r="H245" t="s">
        <v>263</v>
      </c>
    </row>
    <row r="246" spans="1:9" ht="20.100000000000001" hidden="1" customHeight="1" x14ac:dyDescent="0.15">
      <c r="A246">
        <v>15244</v>
      </c>
      <c r="B246" t="s">
        <v>528</v>
      </c>
      <c r="C246" t="s">
        <v>529</v>
      </c>
      <c r="D246">
        <v>0</v>
      </c>
      <c r="E246">
        <v>100</v>
      </c>
      <c r="F246">
        <v>0</v>
      </c>
      <c r="G246">
        <v>0</v>
      </c>
      <c r="H246" t="s">
        <v>263</v>
      </c>
    </row>
    <row r="247" spans="1:9" ht="20.100000000000001" hidden="1" customHeight="1" x14ac:dyDescent="0.15">
      <c r="A247">
        <v>15245</v>
      </c>
      <c r="B247" t="s">
        <v>530</v>
      </c>
      <c r="C247" t="s">
        <v>531</v>
      </c>
      <c r="D247">
        <v>70</v>
      </c>
      <c r="E247">
        <v>200</v>
      </c>
      <c r="F247">
        <v>0</v>
      </c>
      <c r="G247">
        <v>0</v>
      </c>
      <c r="H247" t="s">
        <v>263</v>
      </c>
    </row>
    <row r="248" spans="1:9" ht="20.100000000000001" hidden="1" customHeight="1" x14ac:dyDescent="0.15">
      <c r="A248">
        <v>15246</v>
      </c>
      <c r="B248" t="s">
        <v>532</v>
      </c>
      <c r="C248" t="s">
        <v>533</v>
      </c>
      <c r="D248">
        <v>70</v>
      </c>
      <c r="E248">
        <v>200</v>
      </c>
      <c r="F248">
        <v>0</v>
      </c>
      <c r="G248">
        <v>0</v>
      </c>
      <c r="H248" t="s">
        <v>263</v>
      </c>
    </row>
    <row r="249" spans="1:9" ht="20.100000000000001" hidden="1" customHeight="1" x14ac:dyDescent="0.15">
      <c r="A249">
        <v>15247</v>
      </c>
      <c r="B249" t="s">
        <v>534</v>
      </c>
      <c r="C249" t="s">
        <v>535</v>
      </c>
      <c r="D249">
        <v>70</v>
      </c>
      <c r="E249">
        <v>200</v>
      </c>
      <c r="F249">
        <v>0</v>
      </c>
      <c r="G249">
        <v>0</v>
      </c>
      <c r="H249" t="s">
        <v>263</v>
      </c>
    </row>
    <row r="250" spans="1:9" ht="20.100000000000001" hidden="1" customHeight="1" x14ac:dyDescent="0.15">
      <c r="A250">
        <v>15248</v>
      </c>
      <c r="B250" t="s">
        <v>536</v>
      </c>
      <c r="C250" t="s">
        <v>537</v>
      </c>
      <c r="D250">
        <v>70</v>
      </c>
      <c r="E250">
        <v>200</v>
      </c>
      <c r="F250">
        <v>0</v>
      </c>
      <c r="G250">
        <v>0</v>
      </c>
      <c r="H250" t="s">
        <v>263</v>
      </c>
    </row>
    <row r="251" spans="1:9" ht="20.100000000000001" customHeight="1" x14ac:dyDescent="0.15">
      <c r="A251">
        <v>15249</v>
      </c>
      <c r="B251" t="s">
        <v>538</v>
      </c>
      <c r="C251" t="s">
        <v>539</v>
      </c>
      <c r="D251">
        <v>1</v>
      </c>
      <c r="E251">
        <v>20</v>
      </c>
      <c r="F251">
        <v>1</v>
      </c>
      <c r="G251">
        <v>0</v>
      </c>
      <c r="H251" t="s">
        <v>263</v>
      </c>
      <c r="I251">
        <f>PDTM</f>
        <v>6</v>
      </c>
    </row>
    <row r="252" spans="1:9" ht="20.100000000000001" hidden="1" customHeight="1" x14ac:dyDescent="0.15">
      <c r="A252">
        <v>15250</v>
      </c>
      <c r="B252" t="s">
        <v>540</v>
      </c>
      <c r="C252" t="s">
        <v>541</v>
      </c>
      <c r="D252">
        <v>0</v>
      </c>
      <c r="E252">
        <v>300</v>
      </c>
      <c r="F252">
        <v>0</v>
      </c>
      <c r="G252">
        <v>0</v>
      </c>
      <c r="H252" t="s">
        <v>263</v>
      </c>
    </row>
    <row r="253" spans="1:9" ht="20.100000000000001" hidden="1" customHeight="1" x14ac:dyDescent="0.15">
      <c r="A253">
        <v>15251</v>
      </c>
      <c r="B253" t="s">
        <v>542</v>
      </c>
      <c r="C253" t="s">
        <v>392</v>
      </c>
      <c r="D253">
        <v>0</v>
      </c>
      <c r="E253">
        <v>1</v>
      </c>
      <c r="F253">
        <v>0</v>
      </c>
      <c r="G253">
        <v>0</v>
      </c>
      <c r="H253" t="s">
        <v>129</v>
      </c>
    </row>
    <row r="254" spans="1:9" ht="20.100000000000001" hidden="1" customHeight="1" x14ac:dyDescent="0.15">
      <c r="A254">
        <v>15252</v>
      </c>
      <c r="B254" t="s">
        <v>543</v>
      </c>
      <c r="C254" t="s">
        <v>544</v>
      </c>
      <c r="D254">
        <v>0</v>
      </c>
      <c r="E254">
        <v>600</v>
      </c>
      <c r="F254">
        <v>0</v>
      </c>
      <c r="G254">
        <v>1</v>
      </c>
      <c r="H254" t="s">
        <v>166</v>
      </c>
    </row>
    <row r="255" spans="1:9" ht="20.100000000000001" hidden="1" customHeight="1" x14ac:dyDescent="0.15">
      <c r="A255">
        <v>15253</v>
      </c>
      <c r="B255" t="s">
        <v>545</v>
      </c>
      <c r="C255" t="s">
        <v>546</v>
      </c>
      <c r="D255">
        <v>0</v>
      </c>
      <c r="E255">
        <v>7</v>
      </c>
      <c r="F255">
        <v>0</v>
      </c>
      <c r="G255">
        <v>0</v>
      </c>
      <c r="H255" t="s">
        <v>263</v>
      </c>
    </row>
    <row r="256" spans="1:9" ht="20.100000000000001" hidden="1" customHeight="1" x14ac:dyDescent="0.15">
      <c r="A256">
        <v>15254</v>
      </c>
      <c r="B256" t="s">
        <v>547</v>
      </c>
      <c r="C256" t="s">
        <v>548</v>
      </c>
      <c r="D256">
        <v>0</v>
      </c>
      <c r="E256">
        <v>1</v>
      </c>
      <c r="F256">
        <v>0</v>
      </c>
      <c r="G256">
        <v>0</v>
      </c>
      <c r="H256" t="s">
        <v>420</v>
      </c>
    </row>
    <row r="257" spans="1:8" ht="20.100000000000001" hidden="1" customHeight="1" x14ac:dyDescent="0.15">
      <c r="A257">
        <v>15255</v>
      </c>
      <c r="B257" t="s">
        <v>549</v>
      </c>
      <c r="C257" t="s">
        <v>550</v>
      </c>
      <c r="D257">
        <v>50</v>
      </c>
      <c r="E257">
        <v>300</v>
      </c>
      <c r="F257">
        <v>30</v>
      </c>
      <c r="G257">
        <v>0</v>
      </c>
      <c r="H257" t="s">
        <v>253</v>
      </c>
    </row>
    <row r="258" spans="1:8" ht="20.100000000000001" hidden="1" customHeight="1" x14ac:dyDescent="0.15">
      <c r="A258">
        <v>15256</v>
      </c>
      <c r="B258" t="s">
        <v>551</v>
      </c>
      <c r="C258" t="s">
        <v>392</v>
      </c>
      <c r="D258">
        <v>0</v>
      </c>
      <c r="E258">
        <v>1</v>
      </c>
      <c r="F258">
        <v>0</v>
      </c>
      <c r="G258">
        <v>0</v>
      </c>
      <c r="H258" t="s">
        <v>129</v>
      </c>
    </row>
    <row r="259" spans="1:8" ht="20.100000000000001" hidden="1" customHeight="1" x14ac:dyDescent="0.15">
      <c r="A259">
        <v>15257</v>
      </c>
      <c r="B259" t="s">
        <v>552</v>
      </c>
      <c r="C259" t="s">
        <v>553</v>
      </c>
      <c r="D259">
        <v>0</v>
      </c>
      <c r="E259">
        <v>1</v>
      </c>
      <c r="F259">
        <v>0</v>
      </c>
      <c r="G259">
        <v>0</v>
      </c>
      <c r="H259" t="s">
        <v>263</v>
      </c>
    </row>
    <row r="260" spans="1:8" ht="20.100000000000001" hidden="1" customHeight="1" x14ac:dyDescent="0.15">
      <c r="A260">
        <v>15258</v>
      </c>
      <c r="B260" t="s">
        <v>554</v>
      </c>
      <c r="C260" t="s">
        <v>555</v>
      </c>
      <c r="D260">
        <v>0</v>
      </c>
      <c r="E260">
        <v>30</v>
      </c>
      <c r="F260">
        <v>1</v>
      </c>
      <c r="G260">
        <v>0</v>
      </c>
      <c r="H260" t="s">
        <v>263</v>
      </c>
    </row>
    <row r="261" spans="1:8" ht="20.100000000000001" hidden="1" customHeight="1" x14ac:dyDescent="0.15">
      <c r="A261">
        <v>15259</v>
      </c>
      <c r="B261" t="s">
        <v>556</v>
      </c>
      <c r="C261" t="s">
        <v>557</v>
      </c>
      <c r="D261">
        <v>0</v>
      </c>
      <c r="E261">
        <v>1</v>
      </c>
      <c r="F261">
        <v>0</v>
      </c>
      <c r="G261">
        <v>0</v>
      </c>
      <c r="H261" t="s">
        <v>263</v>
      </c>
    </row>
    <row r="262" spans="1:8" ht="20.100000000000001" hidden="1" customHeight="1" x14ac:dyDescent="0.15">
      <c r="A262">
        <v>15260</v>
      </c>
      <c r="B262" t="s">
        <v>558</v>
      </c>
      <c r="C262" t="s">
        <v>559</v>
      </c>
      <c r="D262">
        <v>0</v>
      </c>
      <c r="E262">
        <v>1</v>
      </c>
      <c r="F262">
        <v>0</v>
      </c>
      <c r="G262">
        <v>0</v>
      </c>
      <c r="H262" t="s">
        <v>263</v>
      </c>
    </row>
    <row r="263" spans="1:8" ht="20.100000000000001" hidden="1" customHeight="1" x14ac:dyDescent="0.15">
      <c r="A263">
        <v>15261</v>
      </c>
      <c r="B263" t="s">
        <v>560</v>
      </c>
      <c r="C263" t="s">
        <v>392</v>
      </c>
      <c r="D263">
        <v>0</v>
      </c>
      <c r="E263">
        <v>1</v>
      </c>
      <c r="F263">
        <v>0</v>
      </c>
      <c r="G263">
        <v>0</v>
      </c>
      <c r="H263" t="s">
        <v>129</v>
      </c>
    </row>
    <row r="264" spans="1:8" ht="20.100000000000001" hidden="1" customHeight="1" x14ac:dyDescent="0.15">
      <c r="A264">
        <v>15262</v>
      </c>
      <c r="B264" t="s">
        <v>561</v>
      </c>
      <c r="C264" t="s">
        <v>562</v>
      </c>
      <c r="D264">
        <v>0</v>
      </c>
      <c r="E264">
        <v>100</v>
      </c>
      <c r="F264">
        <v>0</v>
      </c>
      <c r="G264">
        <v>1</v>
      </c>
      <c r="H264" t="s">
        <v>263</v>
      </c>
    </row>
    <row r="265" spans="1:8" ht="20.100000000000001" hidden="1" customHeight="1" x14ac:dyDescent="0.15">
      <c r="A265">
        <v>15263</v>
      </c>
      <c r="B265" t="s">
        <v>563</v>
      </c>
      <c r="C265" t="s">
        <v>564</v>
      </c>
      <c r="D265">
        <v>0</v>
      </c>
      <c r="E265">
        <v>100</v>
      </c>
      <c r="F265">
        <v>0</v>
      </c>
      <c r="G265">
        <v>1</v>
      </c>
      <c r="H265" t="s">
        <v>263</v>
      </c>
    </row>
    <row r="266" spans="1:8" ht="20.100000000000001" hidden="1" customHeight="1" x14ac:dyDescent="0.15">
      <c r="A266">
        <v>15264</v>
      </c>
      <c r="B266" t="s">
        <v>565</v>
      </c>
      <c r="C266" t="s">
        <v>566</v>
      </c>
      <c r="D266">
        <v>0</v>
      </c>
      <c r="E266">
        <v>10</v>
      </c>
      <c r="F266">
        <v>0</v>
      </c>
      <c r="G266">
        <v>0</v>
      </c>
      <c r="H266" t="s">
        <v>263</v>
      </c>
    </row>
    <row r="267" spans="1:8" ht="20.100000000000001" hidden="1" customHeight="1" x14ac:dyDescent="0.15">
      <c r="A267">
        <v>15265</v>
      </c>
      <c r="B267" t="s">
        <v>567</v>
      </c>
      <c r="C267" t="s">
        <v>568</v>
      </c>
      <c r="D267">
        <v>10</v>
      </c>
      <c r="E267">
        <v>60</v>
      </c>
      <c r="F267">
        <v>0</v>
      </c>
      <c r="G267">
        <v>0</v>
      </c>
      <c r="H267" t="s">
        <v>263</v>
      </c>
    </row>
    <row r="268" spans="1:8" ht="20.100000000000001" hidden="1" customHeight="1" x14ac:dyDescent="0.15">
      <c r="A268">
        <v>15266</v>
      </c>
      <c r="B268" t="s">
        <v>569</v>
      </c>
      <c r="C268" t="s">
        <v>570</v>
      </c>
      <c r="D268">
        <v>0</v>
      </c>
      <c r="E268">
        <v>10</v>
      </c>
      <c r="F268">
        <v>0</v>
      </c>
      <c r="G268">
        <v>0</v>
      </c>
      <c r="H268" t="s">
        <v>263</v>
      </c>
    </row>
    <row r="269" spans="1:8" ht="20.100000000000001" hidden="1" customHeight="1" x14ac:dyDescent="0.15">
      <c r="A269">
        <v>15267</v>
      </c>
      <c r="B269" t="s">
        <v>571</v>
      </c>
      <c r="C269" t="s">
        <v>572</v>
      </c>
      <c r="D269">
        <v>2000</v>
      </c>
      <c r="E269">
        <v>10000</v>
      </c>
      <c r="F269">
        <v>0</v>
      </c>
      <c r="G269">
        <v>0</v>
      </c>
      <c r="H269" t="s">
        <v>263</v>
      </c>
    </row>
    <row r="270" spans="1:8" ht="20.100000000000001" hidden="1" customHeight="1" x14ac:dyDescent="0.15">
      <c r="A270">
        <v>15268</v>
      </c>
      <c r="B270" t="s">
        <v>573</v>
      </c>
      <c r="C270" t="s">
        <v>574</v>
      </c>
      <c r="D270">
        <v>95</v>
      </c>
      <c r="E270">
        <v>200</v>
      </c>
      <c r="F270">
        <v>0</v>
      </c>
      <c r="G270">
        <v>0</v>
      </c>
      <c r="H270" t="s">
        <v>253</v>
      </c>
    </row>
    <row r="271" spans="1:8" ht="20.100000000000001" hidden="1" customHeight="1" x14ac:dyDescent="0.15">
      <c r="A271">
        <v>15269</v>
      </c>
      <c r="B271" t="s">
        <v>575</v>
      </c>
      <c r="C271" t="s">
        <v>576</v>
      </c>
      <c r="D271">
        <v>1000</v>
      </c>
      <c r="E271">
        <v>10000</v>
      </c>
      <c r="F271">
        <v>0</v>
      </c>
      <c r="G271">
        <v>1</v>
      </c>
      <c r="H271" t="s">
        <v>263</v>
      </c>
    </row>
    <row r="272" spans="1:8" ht="20.100000000000001" hidden="1" customHeight="1" x14ac:dyDescent="0.15">
      <c r="A272">
        <v>15270</v>
      </c>
      <c r="B272" t="s">
        <v>577</v>
      </c>
      <c r="C272" t="s">
        <v>578</v>
      </c>
      <c r="D272">
        <v>1000</v>
      </c>
      <c r="E272">
        <v>10000</v>
      </c>
      <c r="F272">
        <v>0</v>
      </c>
      <c r="G272">
        <v>1</v>
      </c>
      <c r="H272" t="s">
        <v>263</v>
      </c>
    </row>
    <row r="273" spans="1:8" ht="20.100000000000001" hidden="1" customHeight="1" x14ac:dyDescent="0.15">
      <c r="A273">
        <v>15271</v>
      </c>
      <c r="B273" t="s">
        <v>579</v>
      </c>
      <c r="C273" t="s">
        <v>580</v>
      </c>
      <c r="D273">
        <v>0</v>
      </c>
      <c r="E273">
        <v>1</v>
      </c>
      <c r="F273">
        <v>0</v>
      </c>
      <c r="G273">
        <v>0</v>
      </c>
      <c r="H273" t="s">
        <v>263</v>
      </c>
    </row>
    <row r="274" spans="1:8" ht="20.100000000000001" hidden="1" customHeight="1" x14ac:dyDescent="0.15">
      <c r="A274">
        <v>15272</v>
      </c>
      <c r="B274" t="s">
        <v>581</v>
      </c>
      <c r="C274" t="s">
        <v>582</v>
      </c>
      <c r="D274">
        <v>1</v>
      </c>
      <c r="E274">
        <v>10</v>
      </c>
      <c r="F274">
        <v>1</v>
      </c>
      <c r="G274">
        <v>0</v>
      </c>
      <c r="H274" t="s">
        <v>169</v>
      </c>
    </row>
    <row r="275" spans="1:8" ht="20.100000000000001" hidden="1" customHeight="1" x14ac:dyDescent="0.15">
      <c r="A275">
        <v>15273</v>
      </c>
      <c r="B275" t="s">
        <v>583</v>
      </c>
      <c r="C275" t="s">
        <v>584</v>
      </c>
      <c r="D275">
        <v>0</v>
      </c>
      <c r="E275">
        <v>100</v>
      </c>
      <c r="F275">
        <v>0</v>
      </c>
      <c r="G275">
        <v>0</v>
      </c>
      <c r="H275" t="s">
        <v>169</v>
      </c>
    </row>
    <row r="276" spans="1:8" ht="20.100000000000001" hidden="1" customHeight="1" x14ac:dyDescent="0.15">
      <c r="A276">
        <v>15274</v>
      </c>
      <c r="B276" t="s">
        <v>585</v>
      </c>
      <c r="C276" t="s">
        <v>586</v>
      </c>
      <c r="D276">
        <v>0</v>
      </c>
      <c r="E276">
        <v>99</v>
      </c>
      <c r="F276">
        <v>0</v>
      </c>
      <c r="G276">
        <v>0</v>
      </c>
      <c r="H276" t="s">
        <v>263</v>
      </c>
    </row>
    <row r="277" spans="1:8" ht="20.100000000000001" hidden="1" customHeight="1" x14ac:dyDescent="0.15">
      <c r="A277">
        <v>15275</v>
      </c>
      <c r="B277" t="s">
        <v>587</v>
      </c>
      <c r="C277" t="s">
        <v>588</v>
      </c>
      <c r="D277">
        <v>0</v>
      </c>
      <c r="E277">
        <v>1</v>
      </c>
      <c r="F277">
        <v>0</v>
      </c>
      <c r="G277">
        <v>0</v>
      </c>
      <c r="H277" t="s">
        <v>263</v>
      </c>
    </row>
    <row r="278" spans="1:8" ht="20.100000000000001" hidden="1" customHeight="1" x14ac:dyDescent="0.15">
      <c r="A278">
        <v>15276</v>
      </c>
      <c r="B278" t="s">
        <v>589</v>
      </c>
      <c r="C278" t="s">
        <v>590</v>
      </c>
      <c r="D278">
        <v>0</v>
      </c>
      <c r="E278">
        <v>100</v>
      </c>
      <c r="F278">
        <v>0</v>
      </c>
      <c r="G278">
        <v>0</v>
      </c>
      <c r="H278" t="s">
        <v>263</v>
      </c>
    </row>
    <row r="279" spans="1:8" ht="20.100000000000001" hidden="1" customHeight="1" x14ac:dyDescent="0.15">
      <c r="A279">
        <v>15277</v>
      </c>
      <c r="B279" t="s">
        <v>591</v>
      </c>
      <c r="C279" t="s">
        <v>592</v>
      </c>
      <c r="D279">
        <v>0</v>
      </c>
      <c r="E279">
        <v>99</v>
      </c>
      <c r="F279">
        <v>0</v>
      </c>
      <c r="G279">
        <v>0</v>
      </c>
      <c r="H279" t="s">
        <v>263</v>
      </c>
    </row>
    <row r="280" spans="1:8" ht="20.100000000000001" hidden="1" customHeight="1" x14ac:dyDescent="0.15">
      <c r="A280">
        <v>15278</v>
      </c>
      <c r="B280" t="s">
        <v>593</v>
      </c>
      <c r="C280" t="s">
        <v>594</v>
      </c>
      <c r="D280">
        <v>0</v>
      </c>
      <c r="E280">
        <v>1</v>
      </c>
      <c r="F280">
        <v>0</v>
      </c>
      <c r="G280">
        <v>0</v>
      </c>
      <c r="H280" t="s">
        <v>263</v>
      </c>
    </row>
    <row r="281" spans="1:8" ht="20.100000000000001" hidden="1" customHeight="1" x14ac:dyDescent="0.15">
      <c r="A281">
        <v>15279</v>
      </c>
      <c r="B281" t="s">
        <v>595</v>
      </c>
      <c r="C281" t="s">
        <v>596</v>
      </c>
      <c r="D281">
        <v>0</v>
      </c>
      <c r="E281">
        <v>100</v>
      </c>
      <c r="F281">
        <v>0</v>
      </c>
      <c r="G281">
        <v>0</v>
      </c>
      <c r="H281" t="s">
        <v>263</v>
      </c>
    </row>
    <row r="282" spans="1:8" ht="20.100000000000001" hidden="1" customHeight="1" x14ac:dyDescent="0.15">
      <c r="A282">
        <v>15280</v>
      </c>
      <c r="B282" t="s">
        <v>597</v>
      </c>
      <c r="C282" t="s">
        <v>598</v>
      </c>
      <c r="D282">
        <v>0</v>
      </c>
      <c r="E282">
        <v>100</v>
      </c>
      <c r="F282">
        <v>0</v>
      </c>
      <c r="G282">
        <v>0</v>
      </c>
      <c r="H282" t="s">
        <v>263</v>
      </c>
    </row>
    <row r="283" spans="1:8" ht="20.100000000000001" hidden="1" customHeight="1" x14ac:dyDescent="0.15">
      <c r="A283">
        <v>15281</v>
      </c>
      <c r="B283" t="s">
        <v>599</v>
      </c>
      <c r="C283" t="s">
        <v>600</v>
      </c>
      <c r="D283">
        <v>0</v>
      </c>
      <c r="E283">
        <v>1</v>
      </c>
      <c r="F283">
        <v>0</v>
      </c>
      <c r="G283">
        <v>0</v>
      </c>
      <c r="H283" t="s">
        <v>263</v>
      </c>
    </row>
    <row r="284" spans="1:8" ht="20.100000000000001" hidden="1" customHeight="1" x14ac:dyDescent="0.15">
      <c r="A284">
        <v>15282</v>
      </c>
      <c r="B284" t="s">
        <v>601</v>
      </c>
      <c r="C284" t="s">
        <v>392</v>
      </c>
      <c r="D284">
        <v>0</v>
      </c>
      <c r="E284">
        <v>1</v>
      </c>
      <c r="F284">
        <v>0</v>
      </c>
      <c r="G284">
        <v>1</v>
      </c>
      <c r="H284" t="s">
        <v>129</v>
      </c>
    </row>
    <row r="285" spans="1:8" ht="20.100000000000001" hidden="1" customHeight="1" x14ac:dyDescent="0.15">
      <c r="A285">
        <v>15283</v>
      </c>
      <c r="B285" t="s">
        <v>602</v>
      </c>
      <c r="C285" t="s">
        <v>392</v>
      </c>
      <c r="D285">
        <v>0</v>
      </c>
      <c r="E285">
        <v>1</v>
      </c>
      <c r="F285">
        <v>0</v>
      </c>
      <c r="G285">
        <v>1</v>
      </c>
      <c r="H285" t="s">
        <v>129</v>
      </c>
    </row>
    <row r="286" spans="1:8" ht="20.100000000000001" hidden="1" customHeight="1" x14ac:dyDescent="0.15">
      <c r="A286">
        <v>15284</v>
      </c>
      <c r="B286" t="s">
        <v>603</v>
      </c>
      <c r="C286" t="s">
        <v>392</v>
      </c>
      <c r="D286">
        <v>0</v>
      </c>
      <c r="E286">
        <v>1</v>
      </c>
      <c r="F286">
        <v>0</v>
      </c>
      <c r="G286">
        <v>1</v>
      </c>
      <c r="H286" t="s">
        <v>129</v>
      </c>
    </row>
    <row r="287" spans="1:8" ht="20.100000000000001" hidden="1" customHeight="1" x14ac:dyDescent="0.15">
      <c r="A287">
        <v>15285</v>
      </c>
      <c r="B287" t="s">
        <v>604</v>
      </c>
      <c r="C287" t="s">
        <v>392</v>
      </c>
      <c r="D287">
        <v>0</v>
      </c>
      <c r="E287">
        <v>1</v>
      </c>
      <c r="F287">
        <v>0</v>
      </c>
      <c r="G287">
        <v>1</v>
      </c>
      <c r="H287" t="s">
        <v>129</v>
      </c>
    </row>
    <row r="288" spans="1:8" ht="20.100000000000001" hidden="1" customHeight="1" x14ac:dyDescent="0.15">
      <c r="A288">
        <v>15286</v>
      </c>
      <c r="B288" t="s">
        <v>605</v>
      </c>
      <c r="C288" t="s">
        <v>606</v>
      </c>
      <c r="D288">
        <v>100</v>
      </c>
      <c r="E288">
        <v>200</v>
      </c>
      <c r="F288">
        <v>50</v>
      </c>
      <c r="G288">
        <v>1</v>
      </c>
      <c r="H288" t="s">
        <v>166</v>
      </c>
    </row>
    <row r="289" spans="1:8" ht="20.100000000000001" hidden="1" customHeight="1" x14ac:dyDescent="0.15">
      <c r="A289">
        <v>15287</v>
      </c>
      <c r="B289" t="s">
        <v>607</v>
      </c>
      <c r="C289" t="s">
        <v>608</v>
      </c>
      <c r="D289">
        <v>0</v>
      </c>
      <c r="E289">
        <v>1</v>
      </c>
      <c r="F289">
        <v>0</v>
      </c>
      <c r="G289">
        <v>0</v>
      </c>
      <c r="H289" t="s">
        <v>263</v>
      </c>
    </row>
    <row r="290" spans="1:8" ht="20.100000000000001" hidden="1" customHeight="1" x14ac:dyDescent="0.15">
      <c r="A290">
        <v>15288</v>
      </c>
      <c r="B290" t="s">
        <v>609</v>
      </c>
      <c r="C290" t="s">
        <v>610</v>
      </c>
      <c r="D290">
        <v>0</v>
      </c>
      <c r="E290">
        <v>1</v>
      </c>
      <c r="F290">
        <v>0</v>
      </c>
      <c r="G290">
        <v>0</v>
      </c>
      <c r="H290" t="s">
        <v>263</v>
      </c>
    </row>
    <row r="291" spans="1:8" ht="20.100000000000001" hidden="1" customHeight="1" x14ac:dyDescent="0.15">
      <c r="A291">
        <v>15289</v>
      </c>
      <c r="B291" t="s">
        <v>611</v>
      </c>
      <c r="C291" t="s">
        <v>612</v>
      </c>
      <c r="D291">
        <v>5</v>
      </c>
      <c r="E291">
        <v>10</v>
      </c>
      <c r="F291">
        <v>0</v>
      </c>
      <c r="G291">
        <v>0</v>
      </c>
      <c r="H291" t="s">
        <v>166</v>
      </c>
    </row>
    <row r="292" spans="1:8" ht="20.100000000000001" hidden="1" customHeight="1" x14ac:dyDescent="0.15">
      <c r="A292">
        <v>15290</v>
      </c>
      <c r="B292" t="s">
        <v>613</v>
      </c>
      <c r="C292" t="s">
        <v>614</v>
      </c>
      <c r="D292">
        <v>1</v>
      </c>
      <c r="E292">
        <v>1</v>
      </c>
      <c r="F292">
        <v>0</v>
      </c>
      <c r="G292">
        <v>0</v>
      </c>
      <c r="H292" t="s">
        <v>263</v>
      </c>
    </row>
    <row r="293" spans="1:8" ht="20.100000000000001" hidden="1" customHeight="1" x14ac:dyDescent="0.15">
      <c r="A293">
        <v>15291</v>
      </c>
      <c r="B293" t="s">
        <v>615</v>
      </c>
      <c r="C293" t="s">
        <v>616</v>
      </c>
      <c r="D293">
        <v>0</v>
      </c>
      <c r="E293">
        <v>1</v>
      </c>
      <c r="F293">
        <v>0</v>
      </c>
      <c r="G293">
        <v>0</v>
      </c>
      <c r="H293" t="s">
        <v>263</v>
      </c>
    </row>
    <row r="294" spans="1:8" ht="20.100000000000001" hidden="1" customHeight="1" x14ac:dyDescent="0.15">
      <c r="A294">
        <v>15292</v>
      </c>
      <c r="B294" t="s">
        <v>617</v>
      </c>
      <c r="C294" t="s">
        <v>618</v>
      </c>
      <c r="D294">
        <v>0</v>
      </c>
      <c r="E294">
        <v>1</v>
      </c>
      <c r="F294">
        <v>0</v>
      </c>
      <c r="G294">
        <v>0</v>
      </c>
      <c r="H294" t="s">
        <v>263</v>
      </c>
    </row>
    <row r="295" spans="1:8" ht="20.100000000000001" hidden="1" customHeight="1" x14ac:dyDescent="0.15">
      <c r="A295">
        <v>15293</v>
      </c>
      <c r="B295" t="s">
        <v>619</v>
      </c>
      <c r="C295" t="s">
        <v>620</v>
      </c>
      <c r="D295">
        <v>0</v>
      </c>
      <c r="E295">
        <v>50</v>
      </c>
      <c r="F295">
        <v>0</v>
      </c>
      <c r="G295">
        <v>0</v>
      </c>
      <c r="H295" t="s">
        <v>263</v>
      </c>
    </row>
    <row r="296" spans="1:8" ht="20.100000000000001" hidden="1" customHeight="1" x14ac:dyDescent="0.15">
      <c r="A296">
        <v>15294</v>
      </c>
      <c r="B296" t="s">
        <v>621</v>
      </c>
      <c r="C296" t="s">
        <v>622</v>
      </c>
      <c r="D296">
        <v>1</v>
      </c>
      <c r="E296">
        <v>1</v>
      </c>
      <c r="F296">
        <v>0</v>
      </c>
      <c r="G296">
        <v>0</v>
      </c>
      <c r="H296" t="s">
        <v>263</v>
      </c>
    </row>
    <row r="297" spans="1:8" ht="20.100000000000001" hidden="1" customHeight="1" x14ac:dyDescent="0.15">
      <c r="A297">
        <v>15295</v>
      </c>
      <c r="B297" t="s">
        <v>623</v>
      </c>
      <c r="C297" t="s">
        <v>624</v>
      </c>
      <c r="D297">
        <v>0</v>
      </c>
      <c r="E297">
        <v>1</v>
      </c>
      <c r="F297">
        <v>0</v>
      </c>
      <c r="G297">
        <v>0</v>
      </c>
      <c r="H297" t="s">
        <v>263</v>
      </c>
    </row>
    <row r="298" spans="1:8" ht="20.100000000000001" hidden="1" customHeight="1" x14ac:dyDescent="0.15">
      <c r="A298">
        <v>15296</v>
      </c>
      <c r="B298" t="s">
        <v>625</v>
      </c>
      <c r="C298" t="s">
        <v>626</v>
      </c>
      <c r="D298">
        <v>120</v>
      </c>
      <c r="E298">
        <v>600</v>
      </c>
      <c r="F298">
        <v>3</v>
      </c>
      <c r="G298">
        <v>0</v>
      </c>
      <c r="H298" t="s">
        <v>263</v>
      </c>
    </row>
    <row r="299" spans="1:8" ht="20.100000000000001" hidden="1" customHeight="1" x14ac:dyDescent="0.15">
      <c r="A299">
        <v>15297</v>
      </c>
      <c r="B299" t="s">
        <v>627</v>
      </c>
      <c r="C299" t="s">
        <v>628</v>
      </c>
      <c r="D299">
        <v>0</v>
      </c>
      <c r="E299">
        <v>1</v>
      </c>
      <c r="F299">
        <v>0</v>
      </c>
      <c r="G299">
        <v>0</v>
      </c>
      <c r="H299" t="s">
        <v>263</v>
      </c>
    </row>
    <row r="300" spans="1:8" ht="20.100000000000001" hidden="1" customHeight="1" x14ac:dyDescent="0.15">
      <c r="A300">
        <v>15298</v>
      </c>
      <c r="B300" t="s">
        <v>629</v>
      </c>
      <c r="C300" t="s">
        <v>630</v>
      </c>
      <c r="D300">
        <v>0</v>
      </c>
      <c r="E300" t="s">
        <v>631</v>
      </c>
      <c r="F300">
        <v>0</v>
      </c>
      <c r="G300">
        <v>0</v>
      </c>
      <c r="H300" t="s">
        <v>263</v>
      </c>
    </row>
    <row r="301" spans="1:8" ht="20.100000000000001" hidden="1" customHeight="1" x14ac:dyDescent="0.15">
      <c r="A301">
        <v>15299</v>
      </c>
      <c r="B301" t="s">
        <v>632</v>
      </c>
      <c r="C301" t="s">
        <v>633</v>
      </c>
      <c r="D301">
        <v>0</v>
      </c>
      <c r="E301">
        <v>1</v>
      </c>
      <c r="F301">
        <v>0</v>
      </c>
      <c r="G301">
        <v>0</v>
      </c>
      <c r="H301" t="s">
        <v>263</v>
      </c>
    </row>
    <row r="302" spans="1:8" ht="20.100000000000001" hidden="1" customHeight="1" x14ac:dyDescent="0.15">
      <c r="A302">
        <v>15300</v>
      </c>
      <c r="B302" t="s">
        <v>634</v>
      </c>
      <c r="C302" t="s">
        <v>635</v>
      </c>
      <c r="D302">
        <v>0</v>
      </c>
      <c r="E302">
        <v>10</v>
      </c>
      <c r="F302">
        <v>0</v>
      </c>
      <c r="G302">
        <v>0</v>
      </c>
      <c r="H302" t="s">
        <v>253</v>
      </c>
    </row>
    <row r="303" spans="1:8" ht="20.100000000000001" hidden="1" customHeight="1" x14ac:dyDescent="0.15">
      <c r="A303">
        <v>15301</v>
      </c>
      <c r="B303" t="s">
        <v>636</v>
      </c>
      <c r="C303" t="s">
        <v>637</v>
      </c>
      <c r="D303">
        <v>0</v>
      </c>
      <c r="E303">
        <v>10</v>
      </c>
      <c r="F303">
        <v>0</v>
      </c>
      <c r="G303">
        <v>0</v>
      </c>
      <c r="H303" t="s">
        <v>253</v>
      </c>
    </row>
    <row r="304" spans="1:8" ht="20.100000000000001" hidden="1" customHeight="1" x14ac:dyDescent="0.15">
      <c r="A304">
        <v>15302</v>
      </c>
      <c r="B304" t="s">
        <v>638</v>
      </c>
      <c r="C304" t="s">
        <v>639</v>
      </c>
      <c r="D304">
        <v>0</v>
      </c>
      <c r="E304">
        <v>1</v>
      </c>
      <c r="F304">
        <v>0</v>
      </c>
      <c r="G304">
        <v>0</v>
      </c>
      <c r="H304" t="s">
        <v>169</v>
      </c>
    </row>
    <row r="305" spans="1:9" ht="20.100000000000001" hidden="1" customHeight="1" x14ac:dyDescent="0.15">
      <c r="A305">
        <v>15303</v>
      </c>
      <c r="B305" t="s">
        <v>640</v>
      </c>
      <c r="C305" t="s">
        <v>641</v>
      </c>
      <c r="D305">
        <v>10</v>
      </c>
      <c r="E305">
        <v>50</v>
      </c>
      <c r="F305">
        <v>1</v>
      </c>
      <c r="G305">
        <v>0</v>
      </c>
      <c r="H305" t="s">
        <v>169</v>
      </c>
    </row>
    <row r="306" spans="1:9" ht="20.100000000000001" hidden="1" customHeight="1" x14ac:dyDescent="0.15">
      <c r="A306">
        <v>15304</v>
      </c>
      <c r="B306" t="s">
        <v>642</v>
      </c>
      <c r="C306" t="s">
        <v>643</v>
      </c>
      <c r="D306">
        <v>0</v>
      </c>
      <c r="E306">
        <v>1</v>
      </c>
      <c r="F306">
        <v>0</v>
      </c>
      <c r="G306">
        <v>0</v>
      </c>
      <c r="H306" t="s">
        <v>263</v>
      </c>
    </row>
    <row r="307" spans="1:9" ht="20.100000000000001" hidden="1" customHeight="1" x14ac:dyDescent="0.15">
      <c r="A307">
        <v>15305</v>
      </c>
      <c r="B307" t="s">
        <v>644</v>
      </c>
      <c r="C307" t="s">
        <v>645</v>
      </c>
      <c r="D307">
        <v>0</v>
      </c>
      <c r="E307">
        <v>100</v>
      </c>
      <c r="F307">
        <v>0</v>
      </c>
      <c r="G307">
        <v>0</v>
      </c>
      <c r="H307" t="s">
        <v>263</v>
      </c>
    </row>
    <row r="308" spans="1:9" ht="20.100000000000001" customHeight="1" x14ac:dyDescent="0.15">
      <c r="A308">
        <v>15306</v>
      </c>
      <c r="B308" t="s">
        <v>1386</v>
      </c>
      <c r="C308" t="s">
        <v>646</v>
      </c>
      <c r="D308">
        <v>0</v>
      </c>
      <c r="E308">
        <v>100</v>
      </c>
      <c r="F308">
        <v>0</v>
      </c>
      <c r="G308">
        <v>0</v>
      </c>
      <c r="H308" t="s">
        <v>263</v>
      </c>
      <c r="I308" s="22">
        <f>IF((ID_950-INT(ID_950)) = 0,ID_950,IF((ID_950-INT(ID_950)) &lt; 0.5,ID_950 + 1,ID_950))</f>
        <v>3.2</v>
      </c>
    </row>
    <row r="309" spans="1:9" ht="20.100000000000001" hidden="1" customHeight="1" x14ac:dyDescent="0.15">
      <c r="A309">
        <v>15307</v>
      </c>
      <c r="B309" t="s">
        <v>647</v>
      </c>
      <c r="C309" t="s">
        <v>648</v>
      </c>
      <c r="D309">
        <v>0</v>
      </c>
      <c r="E309">
        <v>100</v>
      </c>
      <c r="F309">
        <v>0</v>
      </c>
      <c r="G309">
        <v>0</v>
      </c>
      <c r="H309" t="s">
        <v>263</v>
      </c>
    </row>
    <row r="310" spans="1:9" ht="20.100000000000001" hidden="1" customHeight="1" x14ac:dyDescent="0.15">
      <c r="A310">
        <v>15308</v>
      </c>
      <c r="B310" t="s">
        <v>649</v>
      </c>
      <c r="C310" t="s">
        <v>650</v>
      </c>
      <c r="D310">
        <v>0</v>
      </c>
      <c r="E310">
        <v>1</v>
      </c>
      <c r="F310">
        <v>0</v>
      </c>
      <c r="G310">
        <v>0</v>
      </c>
      <c r="H310" t="s">
        <v>169</v>
      </c>
    </row>
    <row r="311" spans="1:9" ht="20.100000000000001" hidden="1" customHeight="1" x14ac:dyDescent="0.15">
      <c r="A311">
        <v>15309</v>
      </c>
      <c r="B311" t="s">
        <v>651</v>
      </c>
      <c r="C311" t="s">
        <v>652</v>
      </c>
      <c r="D311">
        <v>30</v>
      </c>
      <c r="E311">
        <v>100</v>
      </c>
      <c r="F311">
        <v>0</v>
      </c>
      <c r="G311">
        <v>0</v>
      </c>
      <c r="H311" t="s">
        <v>169</v>
      </c>
    </row>
    <row r="312" spans="1:9" ht="20.100000000000001" hidden="1" customHeight="1" x14ac:dyDescent="0.15">
      <c r="A312">
        <v>15310</v>
      </c>
      <c r="B312" t="s">
        <v>653</v>
      </c>
      <c r="C312" t="s">
        <v>654</v>
      </c>
      <c r="D312">
        <v>30</v>
      </c>
      <c r="E312">
        <v>100</v>
      </c>
      <c r="F312">
        <v>0</v>
      </c>
      <c r="G312">
        <v>0</v>
      </c>
      <c r="H312" t="s">
        <v>169</v>
      </c>
    </row>
    <row r="313" spans="1:9" ht="20.100000000000001" hidden="1" customHeight="1" x14ac:dyDescent="0.15">
      <c r="A313">
        <v>15311</v>
      </c>
      <c r="B313" t="s">
        <v>655</v>
      </c>
      <c r="C313" t="s">
        <v>656</v>
      </c>
      <c r="D313">
        <v>1</v>
      </c>
      <c r="E313">
        <v>1</v>
      </c>
      <c r="F313">
        <v>0</v>
      </c>
      <c r="G313">
        <v>0</v>
      </c>
      <c r="H313" t="s">
        <v>169</v>
      </c>
    </row>
    <row r="314" spans="1:9" ht="20.100000000000001" hidden="1" customHeight="1" x14ac:dyDescent="0.15">
      <c r="A314">
        <v>15312</v>
      </c>
      <c r="B314" t="s">
        <v>657</v>
      </c>
      <c r="C314" t="s">
        <v>658</v>
      </c>
      <c r="D314">
        <v>0</v>
      </c>
      <c r="E314">
        <v>600</v>
      </c>
      <c r="F314">
        <v>0</v>
      </c>
      <c r="G314">
        <v>0</v>
      </c>
      <c r="H314" t="s">
        <v>166</v>
      </c>
    </row>
    <row r="315" spans="1:9" ht="20.100000000000001" hidden="1" customHeight="1" x14ac:dyDescent="0.15">
      <c r="A315">
        <v>15313</v>
      </c>
      <c r="B315" t="s">
        <v>659</v>
      </c>
      <c r="C315" t="s">
        <v>392</v>
      </c>
      <c r="D315">
        <v>0</v>
      </c>
      <c r="E315">
        <v>1</v>
      </c>
      <c r="F315">
        <v>0</v>
      </c>
      <c r="G315">
        <v>0</v>
      </c>
      <c r="H315" t="s">
        <v>129</v>
      </c>
    </row>
    <row r="316" spans="1:9" ht="20.100000000000001" hidden="1" customHeight="1" x14ac:dyDescent="0.15">
      <c r="A316">
        <v>15314</v>
      </c>
      <c r="B316" t="s">
        <v>660</v>
      </c>
      <c r="C316" t="s">
        <v>392</v>
      </c>
      <c r="D316">
        <v>0</v>
      </c>
      <c r="E316">
        <v>1</v>
      </c>
      <c r="F316">
        <v>0</v>
      </c>
      <c r="G316">
        <v>0</v>
      </c>
      <c r="H316" t="s">
        <v>129</v>
      </c>
    </row>
    <row r="317" spans="1:9" ht="20.100000000000001" hidden="1" customHeight="1" x14ac:dyDescent="0.15">
      <c r="A317">
        <v>15315</v>
      </c>
      <c r="B317" t="s">
        <v>661</v>
      </c>
      <c r="C317" t="s">
        <v>662</v>
      </c>
      <c r="D317">
        <v>0</v>
      </c>
      <c r="E317">
        <v>1</v>
      </c>
      <c r="F317">
        <v>0</v>
      </c>
      <c r="G317">
        <v>0</v>
      </c>
      <c r="H317" t="s">
        <v>263</v>
      </c>
    </row>
    <row r="318" spans="1:9" ht="20.100000000000001" hidden="1" customHeight="1" x14ac:dyDescent="0.15">
      <c r="A318">
        <v>15316</v>
      </c>
      <c r="B318" t="s">
        <v>663</v>
      </c>
      <c r="C318" t="s">
        <v>664</v>
      </c>
      <c r="D318">
        <v>0</v>
      </c>
      <c r="E318">
        <v>1</v>
      </c>
      <c r="F318">
        <v>0</v>
      </c>
      <c r="G318">
        <v>0</v>
      </c>
      <c r="H318" t="s">
        <v>263</v>
      </c>
    </row>
    <row r="319" spans="1:9" ht="20.100000000000001" hidden="1" customHeight="1" x14ac:dyDescent="0.15">
      <c r="A319">
        <v>15317</v>
      </c>
      <c r="B319" t="s">
        <v>665</v>
      </c>
      <c r="C319" t="s">
        <v>666</v>
      </c>
      <c r="D319">
        <v>0</v>
      </c>
      <c r="E319">
        <v>60000</v>
      </c>
      <c r="F319">
        <v>0</v>
      </c>
      <c r="G319">
        <v>0</v>
      </c>
      <c r="H319" t="s">
        <v>263</v>
      </c>
    </row>
    <row r="320" spans="1:9" ht="20.100000000000001" hidden="1" customHeight="1" x14ac:dyDescent="0.15">
      <c r="A320">
        <v>15318</v>
      </c>
      <c r="B320" t="s">
        <v>667</v>
      </c>
      <c r="C320" t="s">
        <v>668</v>
      </c>
      <c r="D320">
        <v>0</v>
      </c>
      <c r="E320">
        <v>40</v>
      </c>
      <c r="F320">
        <v>10</v>
      </c>
      <c r="G320">
        <v>0</v>
      </c>
      <c r="H320" t="s">
        <v>169</v>
      </c>
    </row>
    <row r="321" spans="1:8" ht="20.100000000000001" hidden="1" customHeight="1" x14ac:dyDescent="0.15">
      <c r="A321">
        <v>15319</v>
      </c>
      <c r="B321" t="s">
        <v>669</v>
      </c>
      <c r="C321" t="s">
        <v>670</v>
      </c>
      <c r="D321">
        <v>300</v>
      </c>
      <c r="E321">
        <v>1000</v>
      </c>
      <c r="F321">
        <v>100</v>
      </c>
      <c r="G321">
        <v>0</v>
      </c>
      <c r="H321" t="s">
        <v>169</v>
      </c>
    </row>
    <row r="322" spans="1:8" ht="20.100000000000001" hidden="1" customHeight="1" x14ac:dyDescent="0.15">
      <c r="A322">
        <v>15320</v>
      </c>
      <c r="B322" t="s">
        <v>671</v>
      </c>
      <c r="C322" t="s">
        <v>672</v>
      </c>
      <c r="D322">
        <v>300</v>
      </c>
      <c r="E322">
        <v>1000</v>
      </c>
      <c r="F322">
        <v>100</v>
      </c>
      <c r="G322">
        <v>0</v>
      </c>
      <c r="H322" t="s">
        <v>169</v>
      </c>
    </row>
    <row r="323" spans="1:8" ht="20.100000000000001" hidden="1" customHeight="1" x14ac:dyDescent="0.15">
      <c r="A323">
        <v>15321</v>
      </c>
      <c r="B323" t="s">
        <v>673</v>
      </c>
      <c r="C323" t="s">
        <v>674</v>
      </c>
      <c r="D323">
        <v>0</v>
      </c>
      <c r="E323">
        <v>1</v>
      </c>
      <c r="F323">
        <v>0</v>
      </c>
      <c r="G323">
        <v>0</v>
      </c>
      <c r="H323" t="s">
        <v>263</v>
      </c>
    </row>
    <row r="324" spans="1:8" ht="20.100000000000001" hidden="1" customHeight="1" x14ac:dyDescent="0.15">
      <c r="A324">
        <v>15322</v>
      </c>
      <c r="B324" t="s">
        <v>675</v>
      </c>
      <c r="C324" t="s">
        <v>676</v>
      </c>
      <c r="D324">
        <v>5</v>
      </c>
      <c r="E324">
        <v>100</v>
      </c>
      <c r="F324">
        <v>0</v>
      </c>
      <c r="G324">
        <v>0</v>
      </c>
      <c r="H324" t="s">
        <v>169</v>
      </c>
    </row>
    <row r="325" spans="1:8" ht="20.100000000000001" hidden="1" customHeight="1" x14ac:dyDescent="0.15">
      <c r="A325">
        <v>15323</v>
      </c>
      <c r="B325" t="s">
        <v>677</v>
      </c>
      <c r="C325" t="s">
        <v>678</v>
      </c>
      <c r="D325">
        <v>30</v>
      </c>
      <c r="E325">
        <v>95</v>
      </c>
      <c r="F325">
        <v>0</v>
      </c>
      <c r="G325">
        <v>0</v>
      </c>
      <c r="H325" t="s">
        <v>169</v>
      </c>
    </row>
    <row r="326" spans="1:8" ht="20.100000000000001" hidden="1" customHeight="1" x14ac:dyDescent="0.15">
      <c r="A326">
        <v>15324</v>
      </c>
      <c r="B326" t="s">
        <v>679</v>
      </c>
      <c r="C326" t="s">
        <v>680</v>
      </c>
      <c r="D326">
        <v>90</v>
      </c>
      <c r="E326">
        <v>100</v>
      </c>
      <c r="F326">
        <v>0</v>
      </c>
      <c r="G326">
        <v>0</v>
      </c>
      <c r="H326" t="s">
        <v>169</v>
      </c>
    </row>
    <row r="327" spans="1:8" ht="20.100000000000001" hidden="1" customHeight="1" x14ac:dyDescent="0.15">
      <c r="A327">
        <v>15325</v>
      </c>
      <c r="B327" t="s">
        <v>681</v>
      </c>
      <c r="C327" t="s">
        <v>682</v>
      </c>
      <c r="D327">
        <v>10</v>
      </c>
      <c r="E327">
        <v>95</v>
      </c>
      <c r="F327">
        <v>0</v>
      </c>
      <c r="G327">
        <v>0</v>
      </c>
      <c r="H327" t="s">
        <v>169</v>
      </c>
    </row>
    <row r="328" spans="1:8" ht="20.100000000000001" hidden="1" customHeight="1" x14ac:dyDescent="0.15">
      <c r="A328">
        <v>15326</v>
      </c>
      <c r="B328" t="s">
        <v>683</v>
      </c>
      <c r="C328" t="s">
        <v>684</v>
      </c>
      <c r="D328">
        <v>0</v>
      </c>
      <c r="E328">
        <v>100</v>
      </c>
      <c r="F328">
        <v>0</v>
      </c>
      <c r="G328">
        <v>0</v>
      </c>
      <c r="H328" t="s">
        <v>263</v>
      </c>
    </row>
    <row r="329" spans="1:8" ht="20.100000000000001" hidden="1" customHeight="1" x14ac:dyDescent="0.15">
      <c r="A329">
        <v>15327</v>
      </c>
      <c r="B329" t="s">
        <v>685</v>
      </c>
      <c r="C329" t="s">
        <v>686</v>
      </c>
      <c r="D329">
        <v>30</v>
      </c>
      <c r="E329">
        <v>80</v>
      </c>
      <c r="F329">
        <v>10</v>
      </c>
      <c r="G329">
        <v>0</v>
      </c>
      <c r="H329" t="s">
        <v>169</v>
      </c>
    </row>
    <row r="330" spans="1:8" ht="20.100000000000001" hidden="1" customHeight="1" x14ac:dyDescent="0.15">
      <c r="A330">
        <v>15328</v>
      </c>
      <c r="B330" t="s">
        <v>687</v>
      </c>
      <c r="C330" t="s">
        <v>688</v>
      </c>
      <c r="D330">
        <v>0</v>
      </c>
      <c r="E330">
        <v>1</v>
      </c>
      <c r="F330">
        <v>0</v>
      </c>
      <c r="G330">
        <v>0</v>
      </c>
      <c r="H330" t="s">
        <v>263</v>
      </c>
    </row>
    <row r="331" spans="1:8" ht="20.100000000000001" hidden="1" customHeight="1" x14ac:dyDescent="0.15">
      <c r="A331">
        <v>15329</v>
      </c>
      <c r="B331" t="s">
        <v>689</v>
      </c>
      <c r="C331" t="s">
        <v>690</v>
      </c>
      <c r="D331">
        <v>0</v>
      </c>
      <c r="E331">
        <v>100</v>
      </c>
      <c r="F331">
        <v>0</v>
      </c>
      <c r="G331">
        <v>0</v>
      </c>
      <c r="H331" t="s">
        <v>263</v>
      </c>
    </row>
    <row r="332" spans="1:8" ht="20.100000000000001" hidden="1" customHeight="1" x14ac:dyDescent="0.15">
      <c r="A332">
        <v>15330</v>
      </c>
      <c r="B332" t="s">
        <v>691</v>
      </c>
      <c r="C332" t="s">
        <v>692</v>
      </c>
      <c r="D332">
        <v>0</v>
      </c>
      <c r="E332">
        <v>100</v>
      </c>
      <c r="F332">
        <v>0</v>
      </c>
      <c r="G332">
        <v>0</v>
      </c>
      <c r="H332" t="s">
        <v>263</v>
      </c>
    </row>
    <row r="333" spans="1:8" ht="20.100000000000001" hidden="1" customHeight="1" x14ac:dyDescent="0.15">
      <c r="A333">
        <v>15331</v>
      </c>
      <c r="B333" t="s">
        <v>693</v>
      </c>
      <c r="C333" t="s">
        <v>694</v>
      </c>
      <c r="D333">
        <v>0</v>
      </c>
      <c r="E333">
        <v>150</v>
      </c>
      <c r="F333">
        <v>0</v>
      </c>
      <c r="G333">
        <v>0</v>
      </c>
      <c r="H333" t="s">
        <v>169</v>
      </c>
    </row>
    <row r="334" spans="1:8" ht="20.100000000000001" hidden="1" customHeight="1" x14ac:dyDescent="0.15">
      <c r="A334">
        <v>15332</v>
      </c>
      <c r="B334" t="s">
        <v>695</v>
      </c>
      <c r="C334" t="s">
        <v>696</v>
      </c>
      <c r="D334">
        <v>0</v>
      </c>
      <c r="E334">
        <v>1</v>
      </c>
      <c r="F334">
        <v>0</v>
      </c>
      <c r="G334">
        <v>0</v>
      </c>
      <c r="H334" t="s">
        <v>169</v>
      </c>
    </row>
    <row r="335" spans="1:8" ht="20.100000000000001" hidden="1" customHeight="1" x14ac:dyDescent="0.15">
      <c r="A335">
        <v>15333</v>
      </c>
      <c r="B335" t="s">
        <v>697</v>
      </c>
      <c r="C335" t="s">
        <v>698</v>
      </c>
      <c r="D335">
        <v>0</v>
      </c>
      <c r="E335">
        <v>1</v>
      </c>
      <c r="F335">
        <v>0</v>
      </c>
      <c r="G335">
        <v>0</v>
      </c>
      <c r="H335" t="s">
        <v>169</v>
      </c>
    </row>
    <row r="336" spans="1:8" ht="20.100000000000001" hidden="1" customHeight="1" x14ac:dyDescent="0.15">
      <c r="A336">
        <v>15334</v>
      </c>
      <c r="B336" t="s">
        <v>699</v>
      </c>
      <c r="C336" t="s">
        <v>700</v>
      </c>
      <c r="D336">
        <v>30</v>
      </c>
      <c r="E336">
        <v>100</v>
      </c>
      <c r="F336">
        <v>0</v>
      </c>
      <c r="G336">
        <v>0</v>
      </c>
      <c r="H336" t="s">
        <v>169</v>
      </c>
    </row>
    <row r="337" spans="1:8" ht="20.100000000000001" hidden="1" customHeight="1" x14ac:dyDescent="0.15">
      <c r="A337">
        <v>15335</v>
      </c>
      <c r="B337" t="s">
        <v>701</v>
      </c>
      <c r="C337" t="s">
        <v>702</v>
      </c>
      <c r="D337">
        <v>20</v>
      </c>
      <c r="E337">
        <v>100</v>
      </c>
      <c r="F337">
        <v>0</v>
      </c>
      <c r="G337">
        <v>0</v>
      </c>
      <c r="H337" t="s">
        <v>169</v>
      </c>
    </row>
    <row r="338" spans="1:8" ht="20.100000000000001" hidden="1" customHeight="1" x14ac:dyDescent="0.15">
      <c r="A338">
        <v>15336</v>
      </c>
      <c r="B338" t="s">
        <v>703</v>
      </c>
      <c r="C338" t="s">
        <v>704</v>
      </c>
      <c r="D338">
        <v>20</v>
      </c>
      <c r="E338">
        <v>100</v>
      </c>
      <c r="F338">
        <v>0</v>
      </c>
      <c r="G338">
        <v>0</v>
      </c>
      <c r="H338" t="s">
        <v>169</v>
      </c>
    </row>
    <row r="339" spans="1:8" ht="20.100000000000001" hidden="1" customHeight="1" x14ac:dyDescent="0.15">
      <c r="A339">
        <v>15337</v>
      </c>
      <c r="B339" t="s">
        <v>705</v>
      </c>
      <c r="C339" t="s">
        <v>706</v>
      </c>
      <c r="D339">
        <v>20</v>
      </c>
      <c r="E339">
        <v>100</v>
      </c>
      <c r="F339">
        <v>0</v>
      </c>
      <c r="G339">
        <v>0</v>
      </c>
      <c r="H339" t="s">
        <v>169</v>
      </c>
    </row>
    <row r="340" spans="1:8" ht="20.100000000000001" hidden="1" customHeight="1" x14ac:dyDescent="0.15">
      <c r="A340">
        <v>15338</v>
      </c>
      <c r="B340" t="s">
        <v>707</v>
      </c>
      <c r="C340" t="s">
        <v>708</v>
      </c>
      <c r="D340">
        <v>30</v>
      </c>
      <c r="E340">
        <v>100</v>
      </c>
      <c r="F340">
        <v>0</v>
      </c>
      <c r="G340">
        <v>0</v>
      </c>
      <c r="H340" t="s">
        <v>169</v>
      </c>
    </row>
    <row r="341" spans="1:8" ht="20.100000000000001" hidden="1" customHeight="1" x14ac:dyDescent="0.15">
      <c r="A341">
        <v>15339</v>
      </c>
      <c r="B341" t="s">
        <v>709</v>
      </c>
      <c r="C341" t="s">
        <v>710</v>
      </c>
      <c r="D341">
        <v>0</v>
      </c>
      <c r="E341">
        <v>100</v>
      </c>
      <c r="F341">
        <v>0</v>
      </c>
      <c r="G341">
        <v>0</v>
      </c>
      <c r="H341" t="s">
        <v>169</v>
      </c>
    </row>
    <row r="342" spans="1:8" ht="20.100000000000001" hidden="1" customHeight="1" x14ac:dyDescent="0.15">
      <c r="A342">
        <v>15340</v>
      </c>
      <c r="B342" t="s">
        <v>711</v>
      </c>
      <c r="C342" t="s">
        <v>712</v>
      </c>
      <c r="D342">
        <v>10</v>
      </c>
      <c r="E342">
        <v>100</v>
      </c>
      <c r="F342">
        <v>1</v>
      </c>
      <c r="G342">
        <v>0</v>
      </c>
      <c r="H342" t="s">
        <v>169</v>
      </c>
    </row>
    <row r="343" spans="1:8" ht="20.100000000000001" hidden="1" customHeight="1" x14ac:dyDescent="0.15">
      <c r="A343">
        <v>15341</v>
      </c>
      <c r="B343" t="s">
        <v>713</v>
      </c>
      <c r="C343" t="s">
        <v>392</v>
      </c>
      <c r="D343">
        <v>0</v>
      </c>
      <c r="E343">
        <v>2</v>
      </c>
      <c r="F343">
        <v>0</v>
      </c>
      <c r="G343">
        <v>0</v>
      </c>
      <c r="H343" t="s">
        <v>129</v>
      </c>
    </row>
    <row r="344" spans="1:8" ht="20.100000000000001" hidden="1" customHeight="1" x14ac:dyDescent="0.15">
      <c r="A344">
        <v>15342</v>
      </c>
      <c r="B344" t="s">
        <v>714</v>
      </c>
      <c r="C344" t="s">
        <v>715</v>
      </c>
      <c r="D344">
        <v>0</v>
      </c>
      <c r="E344">
        <v>7</v>
      </c>
      <c r="F344">
        <v>0</v>
      </c>
      <c r="G344">
        <v>0</v>
      </c>
      <c r="H344" t="s">
        <v>169</v>
      </c>
    </row>
    <row r="345" spans="1:8" ht="20.100000000000001" hidden="1" customHeight="1" x14ac:dyDescent="0.15">
      <c r="A345">
        <v>15343</v>
      </c>
      <c r="B345" t="s">
        <v>716</v>
      </c>
      <c r="C345" t="s">
        <v>717</v>
      </c>
      <c r="D345">
        <v>0</v>
      </c>
      <c r="E345">
        <v>1</v>
      </c>
      <c r="F345">
        <v>0</v>
      </c>
      <c r="G345">
        <v>0</v>
      </c>
      <c r="H345" t="s">
        <v>169</v>
      </c>
    </row>
    <row r="346" spans="1:8" ht="20.100000000000001" hidden="1" customHeight="1" x14ac:dyDescent="0.15">
      <c r="A346">
        <v>15344</v>
      </c>
      <c r="B346" t="s">
        <v>718</v>
      </c>
      <c r="C346" t="s">
        <v>719</v>
      </c>
      <c r="D346">
        <v>50</v>
      </c>
      <c r="E346">
        <v>330</v>
      </c>
      <c r="F346">
        <v>0</v>
      </c>
      <c r="G346">
        <v>0</v>
      </c>
      <c r="H346" t="s">
        <v>166</v>
      </c>
    </row>
    <row r="347" spans="1:8" ht="20.100000000000001" hidden="1" customHeight="1" x14ac:dyDescent="0.15">
      <c r="A347">
        <v>15345</v>
      </c>
      <c r="B347" t="s">
        <v>720</v>
      </c>
      <c r="C347" t="s">
        <v>721</v>
      </c>
      <c r="D347">
        <v>10</v>
      </c>
      <c r="E347">
        <v>49</v>
      </c>
      <c r="F347">
        <v>2</v>
      </c>
      <c r="G347">
        <v>0</v>
      </c>
      <c r="H347" t="s">
        <v>169</v>
      </c>
    </row>
    <row r="348" spans="1:8" ht="20.100000000000001" hidden="1" customHeight="1" x14ac:dyDescent="0.15">
      <c r="A348">
        <v>15346</v>
      </c>
      <c r="B348" t="s">
        <v>722</v>
      </c>
      <c r="C348" t="s">
        <v>723</v>
      </c>
      <c r="D348">
        <v>30</v>
      </c>
      <c r="E348">
        <v>60</v>
      </c>
      <c r="F348">
        <v>0</v>
      </c>
      <c r="G348">
        <v>0</v>
      </c>
      <c r="H348" t="s">
        <v>166</v>
      </c>
    </row>
    <row r="349" spans="1:8" ht="20.100000000000001" hidden="1" customHeight="1" x14ac:dyDescent="0.15">
      <c r="A349">
        <v>15347</v>
      </c>
      <c r="B349" t="s">
        <v>724</v>
      </c>
      <c r="C349" t="s">
        <v>725</v>
      </c>
      <c r="D349">
        <v>15</v>
      </c>
      <c r="E349">
        <v>30</v>
      </c>
      <c r="F349">
        <v>0</v>
      </c>
      <c r="G349">
        <v>0</v>
      </c>
      <c r="H349" t="s">
        <v>166</v>
      </c>
    </row>
    <row r="350" spans="1:8" ht="20.100000000000001" hidden="1" customHeight="1" x14ac:dyDescent="0.15">
      <c r="A350">
        <v>15348</v>
      </c>
      <c r="B350" t="s">
        <v>726</v>
      </c>
      <c r="C350" t="s">
        <v>727</v>
      </c>
      <c r="D350">
        <v>10</v>
      </c>
      <c r="E350">
        <v>100</v>
      </c>
      <c r="F350">
        <v>0</v>
      </c>
      <c r="G350">
        <v>0</v>
      </c>
      <c r="H350" t="s">
        <v>169</v>
      </c>
    </row>
    <row r="351" spans="1:8" ht="20.100000000000001" hidden="1" customHeight="1" x14ac:dyDescent="0.15">
      <c r="A351">
        <v>15349</v>
      </c>
      <c r="B351" t="s">
        <v>728</v>
      </c>
      <c r="C351" t="s">
        <v>729</v>
      </c>
      <c r="D351">
        <v>10</v>
      </c>
      <c r="E351">
        <v>100</v>
      </c>
      <c r="F351">
        <v>0</v>
      </c>
      <c r="G351">
        <v>0</v>
      </c>
      <c r="H351" t="s">
        <v>169</v>
      </c>
    </row>
    <row r="352" spans="1:8" ht="20.100000000000001" hidden="1" customHeight="1" x14ac:dyDescent="0.15">
      <c r="A352">
        <v>15350</v>
      </c>
      <c r="B352" t="s">
        <v>730</v>
      </c>
      <c r="C352" t="s">
        <v>731</v>
      </c>
      <c r="D352">
        <v>10</v>
      </c>
      <c r="E352">
        <v>100</v>
      </c>
      <c r="F352">
        <v>0</v>
      </c>
      <c r="G352">
        <v>0</v>
      </c>
      <c r="H352" t="s">
        <v>169</v>
      </c>
    </row>
    <row r="353" spans="1:8" ht="20.100000000000001" hidden="1" customHeight="1" x14ac:dyDescent="0.15">
      <c r="A353">
        <v>15351</v>
      </c>
      <c r="B353" t="s">
        <v>732</v>
      </c>
      <c r="C353" t="s">
        <v>733</v>
      </c>
      <c r="D353">
        <v>10</v>
      </c>
      <c r="E353">
        <v>100</v>
      </c>
      <c r="F353">
        <v>0</v>
      </c>
      <c r="G353">
        <v>0</v>
      </c>
      <c r="H353" t="s">
        <v>169</v>
      </c>
    </row>
    <row r="354" spans="1:8" ht="20.100000000000001" hidden="1" customHeight="1" x14ac:dyDescent="0.15">
      <c r="A354">
        <v>15352</v>
      </c>
      <c r="B354" t="s">
        <v>734</v>
      </c>
      <c r="C354" t="s">
        <v>735</v>
      </c>
      <c r="D354">
        <v>10</v>
      </c>
      <c r="E354">
        <v>100</v>
      </c>
      <c r="F354">
        <v>0</v>
      </c>
      <c r="G354">
        <v>0</v>
      </c>
      <c r="H354" t="s">
        <v>169</v>
      </c>
    </row>
    <row r="355" spans="1:8" ht="20.100000000000001" hidden="1" customHeight="1" x14ac:dyDescent="0.15">
      <c r="A355">
        <v>15353</v>
      </c>
      <c r="B355" t="s">
        <v>736</v>
      </c>
      <c r="C355" t="s">
        <v>737</v>
      </c>
      <c r="D355">
        <v>10</v>
      </c>
      <c r="E355">
        <v>100</v>
      </c>
      <c r="F355">
        <v>0</v>
      </c>
      <c r="G355">
        <v>0</v>
      </c>
      <c r="H355" t="s">
        <v>169</v>
      </c>
    </row>
    <row r="356" spans="1:8" ht="20.100000000000001" hidden="1" customHeight="1" x14ac:dyDescent="0.15">
      <c r="A356">
        <v>15354</v>
      </c>
      <c r="B356" t="s">
        <v>738</v>
      </c>
      <c r="C356" t="s">
        <v>739</v>
      </c>
      <c r="D356">
        <v>10</v>
      </c>
      <c r="E356">
        <v>100</v>
      </c>
      <c r="F356">
        <v>0</v>
      </c>
      <c r="G356">
        <v>0</v>
      </c>
      <c r="H356" t="s">
        <v>169</v>
      </c>
    </row>
    <row r="357" spans="1:8" ht="20.100000000000001" hidden="1" customHeight="1" x14ac:dyDescent="0.15">
      <c r="A357">
        <v>15355</v>
      </c>
      <c r="B357" t="s">
        <v>740</v>
      </c>
      <c r="C357" t="s">
        <v>741</v>
      </c>
      <c r="D357">
        <v>10</v>
      </c>
      <c r="E357">
        <v>100</v>
      </c>
      <c r="F357">
        <v>0</v>
      </c>
      <c r="G357">
        <v>0</v>
      </c>
      <c r="H357" t="s">
        <v>169</v>
      </c>
    </row>
    <row r="358" spans="1:8" ht="20.100000000000001" hidden="1" customHeight="1" x14ac:dyDescent="0.15">
      <c r="A358">
        <v>15356</v>
      </c>
      <c r="B358" t="s">
        <v>742</v>
      </c>
      <c r="C358" t="s">
        <v>743</v>
      </c>
      <c r="D358">
        <v>10</v>
      </c>
      <c r="E358">
        <v>100</v>
      </c>
      <c r="F358">
        <v>0</v>
      </c>
      <c r="G358">
        <v>0</v>
      </c>
      <c r="H358" t="s">
        <v>169</v>
      </c>
    </row>
    <row r="359" spans="1:8" ht="20.100000000000001" hidden="1" customHeight="1" x14ac:dyDescent="0.15">
      <c r="A359">
        <v>15357</v>
      </c>
      <c r="B359" t="s">
        <v>744</v>
      </c>
      <c r="C359" t="s">
        <v>745</v>
      </c>
      <c r="D359">
        <v>0</v>
      </c>
      <c r="E359">
        <v>60000</v>
      </c>
      <c r="F359">
        <v>0</v>
      </c>
      <c r="G359">
        <v>0</v>
      </c>
      <c r="H359" t="s">
        <v>169</v>
      </c>
    </row>
    <row r="360" spans="1:8" ht="20.100000000000001" hidden="1" customHeight="1" x14ac:dyDescent="0.15">
      <c r="A360">
        <v>15358</v>
      </c>
      <c r="B360" t="s">
        <v>746</v>
      </c>
      <c r="C360" t="s">
        <v>747</v>
      </c>
      <c r="D360">
        <v>0</v>
      </c>
      <c r="E360">
        <v>1</v>
      </c>
      <c r="F360">
        <v>0</v>
      </c>
      <c r="G360">
        <v>0</v>
      </c>
      <c r="H360" t="s">
        <v>169</v>
      </c>
    </row>
    <row r="361" spans="1:8" ht="20.100000000000001" hidden="1" customHeight="1" x14ac:dyDescent="0.15">
      <c r="A361">
        <v>15359</v>
      </c>
      <c r="B361" t="s">
        <v>748</v>
      </c>
      <c r="C361" t="s">
        <v>749</v>
      </c>
      <c r="D361">
        <v>0</v>
      </c>
      <c r="E361">
        <v>1</v>
      </c>
      <c r="F361">
        <v>0</v>
      </c>
      <c r="G361">
        <v>0</v>
      </c>
      <c r="H361" t="s">
        <v>169</v>
      </c>
    </row>
    <row r="362" spans="1:8" ht="20.100000000000001" hidden="1" customHeight="1" x14ac:dyDescent="0.15">
      <c r="A362">
        <v>15360</v>
      </c>
      <c r="B362" t="s">
        <v>750</v>
      </c>
      <c r="C362" t="s">
        <v>751</v>
      </c>
      <c r="D362">
        <v>0</v>
      </c>
      <c r="E362">
        <v>1</v>
      </c>
      <c r="F362">
        <v>0</v>
      </c>
      <c r="G362">
        <v>0</v>
      </c>
      <c r="H362" t="s">
        <v>169</v>
      </c>
    </row>
    <row r="363" spans="1:8" ht="20.100000000000001" hidden="1" customHeight="1" x14ac:dyDescent="0.15">
      <c r="A363">
        <v>15361</v>
      </c>
      <c r="B363" t="s">
        <v>752</v>
      </c>
      <c r="C363" t="s">
        <v>753</v>
      </c>
      <c r="D363">
        <v>0</v>
      </c>
      <c r="E363">
        <v>1</v>
      </c>
      <c r="F363">
        <v>0</v>
      </c>
      <c r="G363">
        <v>0</v>
      </c>
      <c r="H363" t="s">
        <v>169</v>
      </c>
    </row>
    <row r="364" spans="1:8" ht="20.100000000000001" hidden="1" customHeight="1" x14ac:dyDescent="0.15">
      <c r="A364">
        <v>15362</v>
      </c>
      <c r="B364" t="s">
        <v>754</v>
      </c>
      <c r="C364" t="s">
        <v>755</v>
      </c>
      <c r="D364">
        <v>0</v>
      </c>
      <c r="E364">
        <v>60000</v>
      </c>
      <c r="F364">
        <v>0</v>
      </c>
      <c r="G364">
        <v>0</v>
      </c>
      <c r="H364" t="s">
        <v>169</v>
      </c>
    </row>
    <row r="365" spans="1:8" ht="20.100000000000001" hidden="1" customHeight="1" x14ac:dyDescent="0.15">
      <c r="A365">
        <v>15363</v>
      </c>
      <c r="B365" t="s">
        <v>756</v>
      </c>
      <c r="C365" t="s">
        <v>757</v>
      </c>
      <c r="D365">
        <v>100</v>
      </c>
      <c r="E365">
        <v>100</v>
      </c>
      <c r="F365">
        <v>0</v>
      </c>
      <c r="G365">
        <v>1</v>
      </c>
      <c r="H365" t="s">
        <v>169</v>
      </c>
    </row>
    <row r="366" spans="1:8" ht="20.100000000000001" hidden="1" customHeight="1" x14ac:dyDescent="0.15">
      <c r="A366">
        <v>15364</v>
      </c>
      <c r="B366" t="s">
        <v>758</v>
      </c>
      <c r="C366" t="s">
        <v>759</v>
      </c>
      <c r="D366">
        <v>100</v>
      </c>
      <c r="E366">
        <v>100</v>
      </c>
      <c r="F366">
        <v>0</v>
      </c>
      <c r="G366">
        <v>1</v>
      </c>
      <c r="H366" t="s">
        <v>169</v>
      </c>
    </row>
    <row r="367" spans="1:8" ht="20.100000000000001" hidden="1" customHeight="1" x14ac:dyDescent="0.15">
      <c r="A367">
        <v>15365</v>
      </c>
      <c r="B367" t="s">
        <v>760</v>
      </c>
      <c r="C367" t="s">
        <v>761</v>
      </c>
      <c r="D367">
        <v>0</v>
      </c>
      <c r="E367">
        <v>100</v>
      </c>
      <c r="F367">
        <v>0</v>
      </c>
      <c r="G367">
        <v>0</v>
      </c>
      <c r="H367" t="s">
        <v>169</v>
      </c>
    </row>
    <row r="368" spans="1:8" ht="20.100000000000001" hidden="1" customHeight="1" x14ac:dyDescent="0.15">
      <c r="A368">
        <v>15366</v>
      </c>
      <c r="B368" t="s">
        <v>762</v>
      </c>
      <c r="C368" t="s">
        <v>763</v>
      </c>
      <c r="D368">
        <v>0</v>
      </c>
      <c r="E368">
        <v>100</v>
      </c>
      <c r="F368">
        <v>0</v>
      </c>
      <c r="G368">
        <v>0</v>
      </c>
      <c r="H368" t="s">
        <v>169</v>
      </c>
    </row>
    <row r="369" spans="1:8" ht="20.100000000000001" hidden="1" customHeight="1" x14ac:dyDescent="0.15">
      <c r="A369">
        <v>15367</v>
      </c>
      <c r="B369" t="s">
        <v>764</v>
      </c>
      <c r="C369" t="s">
        <v>765</v>
      </c>
      <c r="D369">
        <v>0</v>
      </c>
      <c r="E369">
        <v>1</v>
      </c>
      <c r="F369">
        <v>0</v>
      </c>
      <c r="G369">
        <v>0</v>
      </c>
      <c r="H369" t="s">
        <v>169</v>
      </c>
    </row>
    <row r="370" spans="1:8" ht="20.100000000000001" hidden="1" customHeight="1" x14ac:dyDescent="0.15">
      <c r="A370">
        <v>15368</v>
      </c>
      <c r="B370" t="s">
        <v>766</v>
      </c>
      <c r="C370" t="s">
        <v>767</v>
      </c>
      <c r="D370">
        <v>0</v>
      </c>
      <c r="E370">
        <v>1</v>
      </c>
      <c r="F370">
        <v>0</v>
      </c>
      <c r="G370">
        <v>0</v>
      </c>
      <c r="H370" t="s">
        <v>169</v>
      </c>
    </row>
    <row r="371" spans="1:8" ht="20.100000000000001" hidden="1" customHeight="1" x14ac:dyDescent="0.15">
      <c r="A371">
        <v>15369</v>
      </c>
      <c r="B371" t="s">
        <v>768</v>
      </c>
      <c r="C371" t="s">
        <v>769</v>
      </c>
      <c r="D371">
        <v>0</v>
      </c>
      <c r="E371">
        <v>9999</v>
      </c>
      <c r="F371">
        <v>0</v>
      </c>
      <c r="G371">
        <v>1</v>
      </c>
      <c r="H371" t="s">
        <v>166</v>
      </c>
    </row>
    <row r="372" spans="1:8" ht="20.100000000000001" hidden="1" customHeight="1" x14ac:dyDescent="0.15">
      <c r="A372">
        <v>15370</v>
      </c>
      <c r="B372" t="s">
        <v>770</v>
      </c>
      <c r="C372" t="s">
        <v>771</v>
      </c>
      <c r="D372">
        <v>0</v>
      </c>
      <c r="E372">
        <v>1</v>
      </c>
      <c r="F372">
        <v>0</v>
      </c>
      <c r="G372">
        <v>0</v>
      </c>
      <c r="H372" t="s">
        <v>169</v>
      </c>
    </row>
    <row r="373" spans="1:8" ht="20.100000000000001" hidden="1" customHeight="1" x14ac:dyDescent="0.15">
      <c r="A373">
        <v>15371</v>
      </c>
      <c r="B373" t="s">
        <v>772</v>
      </c>
      <c r="C373" t="s">
        <v>773</v>
      </c>
      <c r="D373">
        <v>0</v>
      </c>
      <c r="E373">
        <v>100</v>
      </c>
      <c r="F373">
        <v>0</v>
      </c>
      <c r="G373">
        <v>0</v>
      </c>
      <c r="H373" t="s">
        <v>169</v>
      </c>
    </row>
    <row r="374" spans="1:8" ht="20.100000000000001" hidden="1" customHeight="1" x14ac:dyDescent="0.15">
      <c r="A374">
        <v>15372</v>
      </c>
      <c r="B374" t="s">
        <v>774</v>
      </c>
      <c r="C374" t="s">
        <v>392</v>
      </c>
      <c r="D374">
        <v>0</v>
      </c>
      <c r="E374">
        <v>1</v>
      </c>
      <c r="F374">
        <v>0</v>
      </c>
      <c r="G374">
        <v>0</v>
      </c>
      <c r="H374" t="s">
        <v>129</v>
      </c>
    </row>
    <row r="375" spans="1:8" ht="20.100000000000001" hidden="1" customHeight="1" x14ac:dyDescent="0.15">
      <c r="A375">
        <v>15373</v>
      </c>
      <c r="B375" t="s">
        <v>775</v>
      </c>
      <c r="C375" t="s">
        <v>392</v>
      </c>
      <c r="D375">
        <v>0</v>
      </c>
      <c r="E375">
        <v>1</v>
      </c>
      <c r="F375">
        <v>0</v>
      </c>
      <c r="G375">
        <v>0</v>
      </c>
      <c r="H375" t="s">
        <v>129</v>
      </c>
    </row>
    <row r="376" spans="1:8" ht="20.100000000000001" hidden="1" customHeight="1" x14ac:dyDescent="0.15">
      <c r="A376">
        <v>15374</v>
      </c>
      <c r="B376" t="s">
        <v>776</v>
      </c>
      <c r="C376" t="s">
        <v>777</v>
      </c>
      <c r="D376">
        <v>0</v>
      </c>
      <c r="E376">
        <v>99</v>
      </c>
      <c r="F376">
        <v>0</v>
      </c>
      <c r="G376">
        <v>0</v>
      </c>
      <c r="H376" t="s">
        <v>169</v>
      </c>
    </row>
    <row r="377" spans="1:8" ht="20.100000000000001" hidden="1" customHeight="1" x14ac:dyDescent="0.15">
      <c r="A377">
        <v>15375</v>
      </c>
      <c r="B377" t="s">
        <v>778</v>
      </c>
      <c r="C377" t="s">
        <v>779</v>
      </c>
      <c r="D377">
        <v>0</v>
      </c>
      <c r="E377">
        <v>1</v>
      </c>
      <c r="F377">
        <v>0</v>
      </c>
      <c r="G377">
        <v>0</v>
      </c>
      <c r="H377" t="s">
        <v>169</v>
      </c>
    </row>
    <row r="378" spans="1:8" ht="20.100000000000001" hidden="1" customHeight="1" x14ac:dyDescent="0.15">
      <c r="A378">
        <v>15376</v>
      </c>
      <c r="B378" t="s">
        <v>780</v>
      </c>
      <c r="C378" t="s">
        <v>781</v>
      </c>
      <c r="D378">
        <v>0</v>
      </c>
      <c r="E378">
        <v>1</v>
      </c>
      <c r="F378">
        <v>0</v>
      </c>
      <c r="G378">
        <v>0</v>
      </c>
      <c r="H378" t="s">
        <v>169</v>
      </c>
    </row>
    <row r="379" spans="1:8" ht="20.100000000000001" hidden="1" customHeight="1" x14ac:dyDescent="0.15">
      <c r="A379">
        <v>15377</v>
      </c>
      <c r="B379" t="s">
        <v>782</v>
      </c>
      <c r="C379" t="s">
        <v>783</v>
      </c>
      <c r="D379">
        <v>5</v>
      </c>
      <c r="E379">
        <v>100</v>
      </c>
      <c r="F379">
        <v>0</v>
      </c>
      <c r="G379">
        <v>0</v>
      </c>
      <c r="H379" t="s">
        <v>169</v>
      </c>
    </row>
    <row r="380" spans="1:8" ht="20.100000000000001" hidden="1" customHeight="1" x14ac:dyDescent="0.15">
      <c r="A380">
        <v>15378</v>
      </c>
      <c r="B380" t="s">
        <v>784</v>
      </c>
      <c r="C380" t="s">
        <v>785</v>
      </c>
      <c r="D380">
        <v>1</v>
      </c>
      <c r="E380">
        <v>1</v>
      </c>
      <c r="F380">
        <v>0</v>
      </c>
      <c r="G380">
        <v>0</v>
      </c>
      <c r="H380" t="s">
        <v>169</v>
      </c>
    </row>
    <row r="381" spans="1:8" ht="20.100000000000001" hidden="1" customHeight="1" x14ac:dyDescent="0.15">
      <c r="A381">
        <v>15379</v>
      </c>
      <c r="B381" t="s">
        <v>786</v>
      </c>
      <c r="C381" t="s">
        <v>787</v>
      </c>
      <c r="D381">
        <v>100</v>
      </c>
      <c r="E381">
        <v>100</v>
      </c>
      <c r="F381">
        <v>40</v>
      </c>
      <c r="G381">
        <v>0</v>
      </c>
      <c r="H381" t="s">
        <v>169</v>
      </c>
    </row>
    <row r="382" spans="1:8" ht="20.100000000000001" hidden="1" customHeight="1" x14ac:dyDescent="0.15">
      <c r="A382">
        <v>15380</v>
      </c>
      <c r="B382" t="s">
        <v>788</v>
      </c>
      <c r="C382" t="s">
        <v>789</v>
      </c>
      <c r="D382">
        <v>0</v>
      </c>
      <c r="E382">
        <v>1</v>
      </c>
      <c r="F382">
        <v>0</v>
      </c>
      <c r="G382">
        <v>0</v>
      </c>
      <c r="H382" t="s">
        <v>169</v>
      </c>
    </row>
    <row r="383" spans="1:8" ht="20.100000000000001" hidden="1" customHeight="1" x14ac:dyDescent="0.15">
      <c r="A383">
        <v>15381</v>
      </c>
      <c r="B383" t="s">
        <v>790</v>
      </c>
      <c r="C383" t="s">
        <v>791</v>
      </c>
      <c r="D383">
        <v>5</v>
      </c>
      <c r="E383">
        <v>50</v>
      </c>
      <c r="F383">
        <v>5</v>
      </c>
      <c r="G383">
        <v>0</v>
      </c>
      <c r="H383" t="s">
        <v>166</v>
      </c>
    </row>
    <row r="384" spans="1:8" ht="20.100000000000001" hidden="1" customHeight="1" x14ac:dyDescent="0.15">
      <c r="A384">
        <v>15382</v>
      </c>
      <c r="B384" t="s">
        <v>792</v>
      </c>
      <c r="C384" t="s">
        <v>793</v>
      </c>
      <c r="D384">
        <v>0</v>
      </c>
      <c r="E384">
        <v>1</v>
      </c>
      <c r="F384">
        <v>0</v>
      </c>
      <c r="G384">
        <v>0</v>
      </c>
      <c r="H384" t="s">
        <v>169</v>
      </c>
    </row>
    <row r="385" spans="1:8" ht="20.100000000000001" hidden="1" customHeight="1" x14ac:dyDescent="0.15">
      <c r="A385">
        <v>15383</v>
      </c>
      <c r="B385" t="s">
        <v>794</v>
      </c>
      <c r="C385" t="s">
        <v>795</v>
      </c>
      <c r="D385">
        <v>0</v>
      </c>
      <c r="E385">
        <v>300</v>
      </c>
      <c r="F385">
        <v>0</v>
      </c>
      <c r="G385">
        <v>0</v>
      </c>
      <c r="H385" t="s">
        <v>169</v>
      </c>
    </row>
    <row r="386" spans="1:8" ht="20.100000000000001" hidden="1" customHeight="1" x14ac:dyDescent="0.15">
      <c r="A386">
        <v>15384</v>
      </c>
      <c r="B386" t="s">
        <v>796</v>
      </c>
      <c r="C386" t="s">
        <v>797</v>
      </c>
      <c r="D386">
        <v>0</v>
      </c>
      <c r="E386">
        <v>1</v>
      </c>
      <c r="F386">
        <v>0</v>
      </c>
      <c r="G386">
        <v>0</v>
      </c>
      <c r="H386" t="s">
        <v>169</v>
      </c>
    </row>
    <row r="387" spans="1:8" ht="20.100000000000001" hidden="1" customHeight="1" x14ac:dyDescent="0.15">
      <c r="A387">
        <v>15385</v>
      </c>
      <c r="B387" t="s">
        <v>798</v>
      </c>
      <c r="C387" t="s">
        <v>799</v>
      </c>
      <c r="D387">
        <v>0</v>
      </c>
      <c r="E387">
        <v>100</v>
      </c>
      <c r="F387">
        <v>0</v>
      </c>
      <c r="G387">
        <v>0</v>
      </c>
      <c r="H387" t="s">
        <v>182</v>
      </c>
    </row>
    <row r="388" spans="1:8" ht="20.100000000000001" hidden="1" customHeight="1" x14ac:dyDescent="0.15">
      <c r="A388">
        <v>15386</v>
      </c>
      <c r="B388" t="s">
        <v>800</v>
      </c>
      <c r="C388" t="s">
        <v>801</v>
      </c>
      <c r="D388">
        <v>0</v>
      </c>
      <c r="E388">
        <v>1</v>
      </c>
      <c r="F388">
        <v>0</v>
      </c>
      <c r="G388">
        <v>0</v>
      </c>
      <c r="H388" t="s">
        <v>182</v>
      </c>
    </row>
    <row r="389" spans="1:8" ht="20.100000000000001" hidden="1" customHeight="1" x14ac:dyDescent="0.15">
      <c r="A389">
        <v>15387</v>
      </c>
      <c r="B389" t="s">
        <v>802</v>
      </c>
      <c r="C389" t="s">
        <v>803</v>
      </c>
      <c r="D389">
        <v>0</v>
      </c>
      <c r="E389">
        <v>300</v>
      </c>
      <c r="F389">
        <v>0</v>
      </c>
      <c r="G389">
        <v>0</v>
      </c>
      <c r="H389" t="s">
        <v>169</v>
      </c>
    </row>
    <row r="390" spans="1:8" ht="20.100000000000001" hidden="1" customHeight="1" x14ac:dyDescent="0.15">
      <c r="A390">
        <v>15388</v>
      </c>
      <c r="B390" t="s">
        <v>804</v>
      </c>
      <c r="C390" t="s">
        <v>805</v>
      </c>
      <c r="D390">
        <v>45</v>
      </c>
      <c r="E390">
        <v>100</v>
      </c>
      <c r="F390">
        <v>5</v>
      </c>
      <c r="G390">
        <v>0</v>
      </c>
      <c r="H390" t="s">
        <v>166</v>
      </c>
    </row>
    <row r="391" spans="1:8" ht="20.100000000000001" hidden="1" customHeight="1" x14ac:dyDescent="0.15">
      <c r="A391">
        <v>15389</v>
      </c>
      <c r="B391" t="s">
        <v>806</v>
      </c>
      <c r="C391" t="s">
        <v>807</v>
      </c>
      <c r="D391">
        <v>5</v>
      </c>
      <c r="E391">
        <v>50</v>
      </c>
      <c r="F391">
        <v>5</v>
      </c>
      <c r="G391">
        <v>0</v>
      </c>
      <c r="H391" t="s">
        <v>166</v>
      </c>
    </row>
    <row r="392" spans="1:8" ht="20.100000000000001" hidden="1" customHeight="1" x14ac:dyDescent="0.15">
      <c r="A392">
        <v>15390</v>
      </c>
      <c r="B392" t="s">
        <v>808</v>
      </c>
      <c r="C392" t="s">
        <v>809</v>
      </c>
      <c r="D392">
        <v>0</v>
      </c>
      <c r="E392">
        <v>100</v>
      </c>
      <c r="F392">
        <v>0</v>
      </c>
      <c r="G392">
        <v>0</v>
      </c>
      <c r="H392" t="s">
        <v>169</v>
      </c>
    </row>
    <row r="393" spans="1:8" ht="20.100000000000001" hidden="1" customHeight="1" x14ac:dyDescent="0.15">
      <c r="A393">
        <v>15391</v>
      </c>
      <c r="B393" t="s">
        <v>810</v>
      </c>
      <c r="C393" t="s">
        <v>811</v>
      </c>
      <c r="D393">
        <v>0</v>
      </c>
      <c r="E393">
        <v>1</v>
      </c>
      <c r="F393">
        <v>0</v>
      </c>
      <c r="G393">
        <v>0</v>
      </c>
      <c r="H393" t="s">
        <v>169</v>
      </c>
    </row>
    <row r="394" spans="1:8" ht="20.100000000000001" hidden="1" customHeight="1" x14ac:dyDescent="0.15">
      <c r="A394">
        <v>15392</v>
      </c>
      <c r="B394" t="s">
        <v>812</v>
      </c>
      <c r="C394" t="s">
        <v>813</v>
      </c>
      <c r="D394">
        <v>700</v>
      </c>
      <c r="E394">
        <v>2000</v>
      </c>
      <c r="F394">
        <v>200</v>
      </c>
      <c r="G394">
        <v>0</v>
      </c>
      <c r="H394" t="s">
        <v>169</v>
      </c>
    </row>
    <row r="395" spans="1:8" ht="20.100000000000001" hidden="1" customHeight="1" x14ac:dyDescent="0.15">
      <c r="A395">
        <v>15393</v>
      </c>
      <c r="B395" t="s">
        <v>814</v>
      </c>
      <c r="C395" t="s">
        <v>815</v>
      </c>
      <c r="D395">
        <v>0</v>
      </c>
      <c r="E395">
        <v>500</v>
      </c>
      <c r="F395">
        <v>0</v>
      </c>
      <c r="G395">
        <v>0</v>
      </c>
      <c r="H395" t="s">
        <v>169</v>
      </c>
    </row>
    <row r="396" spans="1:8" ht="20.100000000000001" hidden="1" customHeight="1" x14ac:dyDescent="0.15">
      <c r="A396">
        <v>15394</v>
      </c>
      <c r="B396" t="s">
        <v>816</v>
      </c>
      <c r="C396" t="s">
        <v>817</v>
      </c>
      <c r="D396">
        <v>0</v>
      </c>
      <c r="E396">
        <v>50</v>
      </c>
      <c r="F396">
        <v>0</v>
      </c>
      <c r="G396">
        <v>1</v>
      </c>
      <c r="H396" t="s">
        <v>169</v>
      </c>
    </row>
    <row r="397" spans="1:8" ht="20.100000000000001" hidden="1" customHeight="1" x14ac:dyDescent="0.15">
      <c r="A397">
        <v>15395</v>
      </c>
      <c r="B397" t="s">
        <v>818</v>
      </c>
      <c r="C397" t="s">
        <v>819</v>
      </c>
      <c r="D397">
        <v>2</v>
      </c>
      <c r="E397">
        <v>5</v>
      </c>
      <c r="F397">
        <v>0</v>
      </c>
      <c r="G397">
        <v>0</v>
      </c>
      <c r="H397" t="s">
        <v>166</v>
      </c>
    </row>
    <row r="398" spans="1:8" ht="20.100000000000001" hidden="1" customHeight="1" x14ac:dyDescent="0.15">
      <c r="A398">
        <v>15396</v>
      </c>
      <c r="B398" t="s">
        <v>820</v>
      </c>
      <c r="C398" t="s">
        <v>821</v>
      </c>
      <c r="D398">
        <v>0</v>
      </c>
      <c r="E398">
        <v>100</v>
      </c>
      <c r="F398">
        <v>0</v>
      </c>
      <c r="G398">
        <v>0</v>
      </c>
      <c r="H398" t="s">
        <v>169</v>
      </c>
    </row>
    <row r="399" spans="1:8" ht="20.100000000000001" hidden="1" customHeight="1" x14ac:dyDescent="0.15">
      <c r="A399">
        <v>15397</v>
      </c>
      <c r="B399" t="s">
        <v>822</v>
      </c>
      <c r="C399" t="s">
        <v>823</v>
      </c>
      <c r="D399">
        <v>0</v>
      </c>
      <c r="E399">
        <v>100</v>
      </c>
      <c r="F399">
        <v>0</v>
      </c>
      <c r="G399">
        <v>0</v>
      </c>
      <c r="H399" t="s">
        <v>169</v>
      </c>
    </row>
    <row r="400" spans="1:8" ht="20.100000000000001" hidden="1" customHeight="1" x14ac:dyDescent="0.15">
      <c r="A400">
        <v>15398</v>
      </c>
      <c r="B400" t="s">
        <v>824</v>
      </c>
      <c r="C400" t="s">
        <v>825</v>
      </c>
      <c r="D400">
        <v>0</v>
      </c>
      <c r="E400">
        <v>9000</v>
      </c>
      <c r="F400">
        <v>0</v>
      </c>
      <c r="G400">
        <v>0</v>
      </c>
      <c r="H400" t="s">
        <v>169</v>
      </c>
    </row>
    <row r="401" spans="1:9" ht="20.100000000000001" hidden="1" customHeight="1" x14ac:dyDescent="0.15">
      <c r="A401">
        <v>15399</v>
      </c>
      <c r="B401" t="s">
        <v>826</v>
      </c>
      <c r="C401" t="s">
        <v>827</v>
      </c>
      <c r="D401">
        <v>10</v>
      </c>
      <c r="E401">
        <v>400</v>
      </c>
      <c r="F401">
        <v>10</v>
      </c>
      <c r="G401">
        <v>0</v>
      </c>
      <c r="H401" t="s">
        <v>169</v>
      </c>
    </row>
    <row r="402" spans="1:9" ht="20.100000000000001" hidden="1" customHeight="1" x14ac:dyDescent="0.15">
      <c r="A402">
        <v>15400</v>
      </c>
      <c r="B402" t="s">
        <v>828</v>
      </c>
      <c r="C402" t="s">
        <v>829</v>
      </c>
      <c r="D402">
        <v>25</v>
      </c>
      <c r="E402">
        <v>50</v>
      </c>
      <c r="F402">
        <v>0</v>
      </c>
      <c r="G402">
        <v>0</v>
      </c>
      <c r="H402" t="s">
        <v>169</v>
      </c>
    </row>
    <row r="403" spans="1:9" ht="20.100000000000001" hidden="1" customHeight="1" x14ac:dyDescent="0.15">
      <c r="A403">
        <v>15401</v>
      </c>
      <c r="B403" t="s">
        <v>830</v>
      </c>
      <c r="C403" t="s">
        <v>831</v>
      </c>
      <c r="D403">
        <v>0</v>
      </c>
      <c r="E403">
        <v>1</v>
      </c>
      <c r="F403">
        <v>0</v>
      </c>
      <c r="G403">
        <v>0</v>
      </c>
      <c r="H403" t="s">
        <v>169</v>
      </c>
    </row>
    <row r="404" spans="1:9" ht="20.100000000000001" hidden="1" customHeight="1" x14ac:dyDescent="0.15">
      <c r="A404">
        <v>15402</v>
      </c>
      <c r="B404" t="s">
        <v>832</v>
      </c>
      <c r="C404" t="s">
        <v>833</v>
      </c>
      <c r="D404">
        <v>0</v>
      </c>
      <c r="E404">
        <v>1</v>
      </c>
      <c r="F404">
        <v>0</v>
      </c>
      <c r="G404">
        <v>0</v>
      </c>
      <c r="H404" t="s">
        <v>169</v>
      </c>
    </row>
    <row r="405" spans="1:9" ht="20.100000000000001" customHeight="1" x14ac:dyDescent="0.15">
      <c r="A405">
        <v>15403</v>
      </c>
      <c r="B405" t="s">
        <v>834</v>
      </c>
      <c r="C405" t="s">
        <v>835</v>
      </c>
      <c r="D405">
        <v>0</v>
      </c>
      <c r="E405">
        <v>1</v>
      </c>
      <c r="F405">
        <v>0</v>
      </c>
      <c r="G405">
        <v>0</v>
      </c>
      <c r="H405" t="s">
        <v>166</v>
      </c>
      <c r="I405">
        <v>15</v>
      </c>
    </row>
    <row r="406" spans="1:9" ht="20.100000000000001" hidden="1" customHeight="1" x14ac:dyDescent="0.15">
      <c r="A406">
        <v>15404</v>
      </c>
      <c r="B406" t="s">
        <v>836</v>
      </c>
      <c r="C406" t="s">
        <v>837</v>
      </c>
      <c r="D406">
        <v>0</v>
      </c>
      <c r="E406">
        <v>100</v>
      </c>
      <c r="F406">
        <v>0</v>
      </c>
      <c r="G406">
        <v>0</v>
      </c>
      <c r="H406" t="s">
        <v>169</v>
      </c>
    </row>
    <row r="407" spans="1:9" ht="20.100000000000001" hidden="1" customHeight="1" x14ac:dyDescent="0.15">
      <c r="A407">
        <v>15405</v>
      </c>
      <c r="B407" t="s">
        <v>838</v>
      </c>
      <c r="C407" t="s">
        <v>839</v>
      </c>
      <c r="D407">
        <v>0</v>
      </c>
      <c r="E407">
        <v>1</v>
      </c>
      <c r="F407">
        <v>0</v>
      </c>
      <c r="G407">
        <v>0</v>
      </c>
      <c r="H407" t="s">
        <v>182</v>
      </c>
    </row>
    <row r="408" spans="1:9" ht="20.100000000000001" hidden="1" customHeight="1" x14ac:dyDescent="0.15">
      <c r="A408">
        <v>15406</v>
      </c>
      <c r="B408" t="s">
        <v>840</v>
      </c>
      <c r="C408" t="s">
        <v>841</v>
      </c>
      <c r="D408">
        <v>0</v>
      </c>
      <c r="E408">
        <v>1000</v>
      </c>
      <c r="F408">
        <v>0</v>
      </c>
      <c r="G408">
        <v>0</v>
      </c>
      <c r="H408" t="s">
        <v>169</v>
      </c>
    </row>
    <row r="409" spans="1:9" ht="20.100000000000001" hidden="1" customHeight="1" x14ac:dyDescent="0.15">
      <c r="A409">
        <v>15407</v>
      </c>
      <c r="B409" t="s">
        <v>842</v>
      </c>
      <c r="C409" t="s">
        <v>843</v>
      </c>
      <c r="D409">
        <v>100</v>
      </c>
      <c r="E409">
        <v>400</v>
      </c>
      <c r="F409">
        <v>0</v>
      </c>
      <c r="G409">
        <v>0</v>
      </c>
      <c r="H409" t="s">
        <v>169</v>
      </c>
    </row>
    <row r="410" spans="1:9" ht="20.100000000000001" hidden="1" customHeight="1" x14ac:dyDescent="0.15">
      <c r="A410">
        <v>15408</v>
      </c>
      <c r="B410" t="s">
        <v>844</v>
      </c>
      <c r="C410" t="s">
        <v>845</v>
      </c>
      <c r="D410">
        <v>0</v>
      </c>
      <c r="E410">
        <v>1</v>
      </c>
      <c r="F410">
        <v>0</v>
      </c>
      <c r="G410">
        <v>0</v>
      </c>
      <c r="H410" t="s">
        <v>169</v>
      </c>
    </row>
    <row r="411" spans="1:9" ht="20.100000000000001" hidden="1" customHeight="1" x14ac:dyDescent="0.15">
      <c r="A411">
        <v>15409</v>
      </c>
      <c r="B411" t="s">
        <v>846</v>
      </c>
      <c r="C411" t="s">
        <v>847</v>
      </c>
      <c r="D411">
        <v>0</v>
      </c>
      <c r="E411">
        <v>10</v>
      </c>
      <c r="F411">
        <v>0</v>
      </c>
      <c r="G411">
        <v>0</v>
      </c>
      <c r="H411" t="s">
        <v>169</v>
      </c>
    </row>
    <row r="412" spans="1:9" ht="20.100000000000001" hidden="1" customHeight="1" x14ac:dyDescent="0.15">
      <c r="A412">
        <v>15410</v>
      </c>
      <c r="B412" t="s">
        <v>848</v>
      </c>
      <c r="C412" t="s">
        <v>849</v>
      </c>
      <c r="D412">
        <v>0</v>
      </c>
      <c r="E412">
        <v>5000</v>
      </c>
      <c r="F412">
        <v>0</v>
      </c>
      <c r="G412">
        <v>0</v>
      </c>
      <c r="H412" t="s">
        <v>169</v>
      </c>
    </row>
    <row r="413" spans="1:9" ht="20.100000000000001" hidden="1" customHeight="1" x14ac:dyDescent="0.15">
      <c r="A413">
        <v>15411</v>
      </c>
      <c r="B413" t="s">
        <v>850</v>
      </c>
      <c r="C413" t="s">
        <v>851</v>
      </c>
      <c r="D413">
        <v>0</v>
      </c>
      <c r="E413">
        <v>1</v>
      </c>
      <c r="F413">
        <v>0</v>
      </c>
      <c r="G413">
        <v>0</v>
      </c>
      <c r="H413" t="s">
        <v>169</v>
      </c>
    </row>
    <row r="414" spans="1:9" ht="20.100000000000001" hidden="1" customHeight="1" x14ac:dyDescent="0.15">
      <c r="A414">
        <v>15412</v>
      </c>
      <c r="B414" t="s">
        <v>852</v>
      </c>
      <c r="C414" t="s">
        <v>853</v>
      </c>
      <c r="D414">
        <v>130</v>
      </c>
      <c r="E414">
        <v>200</v>
      </c>
      <c r="F414">
        <v>100</v>
      </c>
      <c r="G414">
        <v>1</v>
      </c>
      <c r="H414" t="s">
        <v>166</v>
      </c>
    </row>
    <row r="415" spans="1:9" ht="20.100000000000001" hidden="1" customHeight="1" x14ac:dyDescent="0.15">
      <c r="A415">
        <v>15413</v>
      </c>
      <c r="B415" t="s">
        <v>854</v>
      </c>
      <c r="C415" t="s">
        <v>855</v>
      </c>
      <c r="D415">
        <v>5</v>
      </c>
      <c r="E415">
        <v>10</v>
      </c>
      <c r="F415">
        <v>1</v>
      </c>
      <c r="G415">
        <v>1</v>
      </c>
      <c r="H415" t="s">
        <v>169</v>
      </c>
    </row>
    <row r="416" spans="1:9" ht="20.100000000000001" hidden="1" customHeight="1" x14ac:dyDescent="0.15">
      <c r="A416">
        <v>15414</v>
      </c>
      <c r="B416" t="s">
        <v>856</v>
      </c>
      <c r="C416" t="s">
        <v>857</v>
      </c>
      <c r="D416">
        <v>5</v>
      </c>
      <c r="E416">
        <v>10</v>
      </c>
      <c r="F416">
        <v>0</v>
      </c>
      <c r="G416">
        <v>0</v>
      </c>
      <c r="H416" t="s">
        <v>166</v>
      </c>
    </row>
    <row r="417" spans="1:8" ht="20.100000000000001" hidden="1" customHeight="1" x14ac:dyDescent="0.15">
      <c r="A417">
        <v>15415</v>
      </c>
      <c r="B417" t="s">
        <v>858</v>
      </c>
      <c r="C417" t="s">
        <v>859</v>
      </c>
      <c r="D417">
        <v>1000</v>
      </c>
      <c r="E417">
        <v>3000</v>
      </c>
      <c r="F417">
        <v>0</v>
      </c>
      <c r="G417">
        <v>0</v>
      </c>
      <c r="H417" t="s">
        <v>169</v>
      </c>
    </row>
    <row r="418" spans="1:8" ht="20.100000000000001" hidden="1" customHeight="1" x14ac:dyDescent="0.15">
      <c r="A418">
        <v>15416</v>
      </c>
      <c r="B418" t="s">
        <v>860</v>
      </c>
      <c r="C418" t="s">
        <v>861</v>
      </c>
      <c r="D418">
        <v>0</v>
      </c>
      <c r="E418">
        <v>1</v>
      </c>
      <c r="F418">
        <v>0</v>
      </c>
      <c r="G418">
        <v>0</v>
      </c>
      <c r="H418" t="s">
        <v>169</v>
      </c>
    </row>
    <row r="419" spans="1:8" ht="20.100000000000001" hidden="1" customHeight="1" x14ac:dyDescent="0.15">
      <c r="A419">
        <v>15417</v>
      </c>
      <c r="B419" t="s">
        <v>862</v>
      </c>
      <c r="C419" t="s">
        <v>863</v>
      </c>
      <c r="D419">
        <v>0</v>
      </c>
      <c r="E419">
        <v>300</v>
      </c>
      <c r="F419">
        <v>0</v>
      </c>
      <c r="G419">
        <v>0</v>
      </c>
      <c r="H419" t="s">
        <v>169</v>
      </c>
    </row>
    <row r="420" spans="1:8" ht="20.100000000000001" hidden="1" customHeight="1" x14ac:dyDescent="0.15">
      <c r="A420">
        <v>15418</v>
      </c>
      <c r="B420" t="s">
        <v>864</v>
      </c>
      <c r="C420" t="s">
        <v>865</v>
      </c>
      <c r="D420">
        <v>0</v>
      </c>
      <c r="E420">
        <v>1</v>
      </c>
      <c r="F420">
        <v>0</v>
      </c>
      <c r="G420">
        <v>0</v>
      </c>
      <c r="H420" t="s">
        <v>866</v>
      </c>
    </row>
    <row r="421" spans="1:8" ht="20.100000000000001" hidden="1" customHeight="1" x14ac:dyDescent="0.15">
      <c r="A421">
        <v>15419</v>
      </c>
      <c r="B421" t="s">
        <v>867</v>
      </c>
      <c r="C421" t="s">
        <v>868</v>
      </c>
      <c r="D421">
        <v>0</v>
      </c>
      <c r="E421">
        <v>100</v>
      </c>
      <c r="F421">
        <v>0</v>
      </c>
      <c r="G421">
        <v>0</v>
      </c>
      <c r="H421" t="s">
        <v>169</v>
      </c>
    </row>
    <row r="422" spans="1:8" ht="20.100000000000001" hidden="1" customHeight="1" x14ac:dyDescent="0.15">
      <c r="A422">
        <v>15420</v>
      </c>
      <c r="B422" t="s">
        <v>869</v>
      </c>
      <c r="C422" t="s">
        <v>870</v>
      </c>
      <c r="D422">
        <v>0</v>
      </c>
      <c r="E422">
        <v>100</v>
      </c>
      <c r="F422">
        <v>0</v>
      </c>
      <c r="G422">
        <v>0</v>
      </c>
      <c r="H422" t="s">
        <v>169</v>
      </c>
    </row>
    <row r="423" spans="1:8" ht="20.100000000000001" hidden="1" customHeight="1" x14ac:dyDescent="0.15">
      <c r="A423">
        <v>15421</v>
      </c>
      <c r="B423" t="s">
        <v>871</v>
      </c>
      <c r="C423" t="s">
        <v>872</v>
      </c>
      <c r="D423">
        <v>0</v>
      </c>
      <c r="E423">
        <v>200</v>
      </c>
      <c r="F423">
        <v>0</v>
      </c>
      <c r="G423">
        <v>1</v>
      </c>
      <c r="H423" t="s">
        <v>873</v>
      </c>
    </row>
    <row r="424" spans="1:8" ht="20.100000000000001" hidden="1" customHeight="1" x14ac:dyDescent="0.15">
      <c r="A424">
        <v>15422</v>
      </c>
      <c r="B424" t="s">
        <v>874</v>
      </c>
      <c r="C424" t="s">
        <v>875</v>
      </c>
      <c r="D424">
        <v>0</v>
      </c>
      <c r="E424">
        <v>200</v>
      </c>
      <c r="F424">
        <v>0</v>
      </c>
      <c r="G424">
        <v>1</v>
      </c>
      <c r="H424" t="s">
        <v>873</v>
      </c>
    </row>
    <row r="425" spans="1:8" ht="20.100000000000001" hidden="1" customHeight="1" x14ac:dyDescent="0.15">
      <c r="A425">
        <v>15423</v>
      </c>
      <c r="B425" t="s">
        <v>876</v>
      </c>
      <c r="C425" t="s">
        <v>877</v>
      </c>
      <c r="D425">
        <v>1</v>
      </c>
      <c r="E425">
        <v>1</v>
      </c>
      <c r="F425">
        <v>0</v>
      </c>
      <c r="G425">
        <v>0</v>
      </c>
      <c r="H425" t="s">
        <v>169</v>
      </c>
    </row>
    <row r="426" spans="1:8" ht="20.100000000000001" hidden="1" customHeight="1" x14ac:dyDescent="0.15">
      <c r="A426">
        <v>15424</v>
      </c>
      <c r="B426" t="s">
        <v>878</v>
      </c>
      <c r="C426" t="s">
        <v>879</v>
      </c>
      <c r="D426">
        <v>0</v>
      </c>
      <c r="E426">
        <v>1000</v>
      </c>
      <c r="F426">
        <v>0</v>
      </c>
      <c r="G426">
        <v>0</v>
      </c>
      <c r="H426" t="s">
        <v>169</v>
      </c>
    </row>
    <row r="427" spans="1:8" ht="20.100000000000001" hidden="1" customHeight="1" x14ac:dyDescent="0.15">
      <c r="A427">
        <v>15425</v>
      </c>
      <c r="B427" t="s">
        <v>880</v>
      </c>
      <c r="C427" t="s">
        <v>881</v>
      </c>
      <c r="D427">
        <v>0</v>
      </c>
      <c r="E427">
        <v>2</v>
      </c>
      <c r="F427">
        <v>0</v>
      </c>
      <c r="G427">
        <v>0</v>
      </c>
      <c r="H427" t="s">
        <v>169</v>
      </c>
    </row>
    <row r="428" spans="1:8" ht="20.100000000000001" hidden="1" customHeight="1" x14ac:dyDescent="0.15">
      <c r="A428">
        <v>15426</v>
      </c>
      <c r="B428" t="s">
        <v>882</v>
      </c>
      <c r="C428" t="s">
        <v>883</v>
      </c>
      <c r="D428">
        <v>30</v>
      </c>
      <c r="E428">
        <v>60</v>
      </c>
      <c r="F428">
        <v>0</v>
      </c>
      <c r="G428">
        <v>0</v>
      </c>
      <c r="H428" t="s">
        <v>166</v>
      </c>
    </row>
    <row r="429" spans="1:8" ht="20.100000000000001" hidden="1" customHeight="1" x14ac:dyDescent="0.15">
      <c r="A429">
        <v>15427</v>
      </c>
      <c r="B429" t="s">
        <v>884</v>
      </c>
      <c r="C429" t="s">
        <v>885</v>
      </c>
      <c r="D429">
        <v>0</v>
      </c>
      <c r="E429">
        <v>1</v>
      </c>
      <c r="F429">
        <v>0</v>
      </c>
      <c r="G429">
        <v>0</v>
      </c>
      <c r="H429" t="s">
        <v>169</v>
      </c>
    </row>
    <row r="430" spans="1:8" ht="20.100000000000001" hidden="1" customHeight="1" x14ac:dyDescent="0.15">
      <c r="A430">
        <v>15428</v>
      </c>
      <c r="B430" t="s">
        <v>886</v>
      </c>
      <c r="C430" t="s">
        <v>887</v>
      </c>
      <c r="D430">
        <v>1000</v>
      </c>
      <c r="E430">
        <v>10000</v>
      </c>
      <c r="F430">
        <v>0</v>
      </c>
      <c r="G430">
        <v>0</v>
      </c>
      <c r="H430" t="s">
        <v>169</v>
      </c>
    </row>
    <row r="431" spans="1:8" ht="20.100000000000001" hidden="1" customHeight="1" x14ac:dyDescent="0.15">
      <c r="A431">
        <v>15429</v>
      </c>
      <c r="B431" t="s">
        <v>888</v>
      </c>
      <c r="C431" t="s">
        <v>889</v>
      </c>
      <c r="D431">
        <v>2</v>
      </c>
      <c r="E431">
        <v>10</v>
      </c>
      <c r="F431">
        <v>0</v>
      </c>
      <c r="G431">
        <v>0</v>
      </c>
      <c r="H431" t="s">
        <v>169</v>
      </c>
    </row>
    <row r="432" spans="1:8" ht="20.100000000000001" hidden="1" customHeight="1" x14ac:dyDescent="0.15">
      <c r="A432">
        <v>15430</v>
      </c>
      <c r="B432" t="s">
        <v>890</v>
      </c>
      <c r="C432" t="s">
        <v>891</v>
      </c>
      <c r="D432">
        <v>0</v>
      </c>
      <c r="E432">
        <v>1</v>
      </c>
      <c r="F432">
        <v>0</v>
      </c>
      <c r="G432">
        <v>0</v>
      </c>
      <c r="H432" t="s">
        <v>169</v>
      </c>
    </row>
    <row r="433" spans="1:9" ht="20.100000000000001" hidden="1" customHeight="1" x14ac:dyDescent="0.15">
      <c r="A433">
        <v>15431</v>
      </c>
      <c r="B433" t="s">
        <v>892</v>
      </c>
      <c r="C433" t="s">
        <v>893</v>
      </c>
      <c r="D433">
        <v>1</v>
      </c>
      <c r="E433">
        <v>10</v>
      </c>
      <c r="F433">
        <v>1</v>
      </c>
      <c r="G433">
        <v>0</v>
      </c>
      <c r="H433" t="s">
        <v>169</v>
      </c>
    </row>
    <row r="434" spans="1:9" ht="20.100000000000001" hidden="1" customHeight="1" x14ac:dyDescent="0.15">
      <c r="A434">
        <v>15432</v>
      </c>
      <c r="B434" t="s">
        <v>894</v>
      </c>
      <c r="C434" t="s">
        <v>895</v>
      </c>
      <c r="D434">
        <v>1</v>
      </c>
      <c r="E434">
        <v>10</v>
      </c>
      <c r="F434">
        <v>1</v>
      </c>
      <c r="G434">
        <v>0</v>
      </c>
      <c r="H434" t="s">
        <v>169</v>
      </c>
    </row>
    <row r="435" spans="1:9" ht="20.100000000000001" customHeight="1" x14ac:dyDescent="0.15">
      <c r="A435">
        <v>15433</v>
      </c>
      <c r="B435" t="s">
        <v>896</v>
      </c>
      <c r="C435" t="s">
        <v>897</v>
      </c>
      <c r="D435">
        <v>100</v>
      </c>
      <c r="E435">
        <v>100</v>
      </c>
      <c r="F435">
        <v>40</v>
      </c>
      <c r="G435">
        <v>0</v>
      </c>
      <c r="H435" t="s">
        <v>166</v>
      </c>
      <c r="I435" cm="1">
        <f t="array" ref="I435">GSL</f>
        <v>100</v>
      </c>
    </row>
    <row r="436" spans="1:9" ht="20.100000000000001" hidden="1" customHeight="1" x14ac:dyDescent="0.15">
      <c r="A436">
        <v>15434</v>
      </c>
      <c r="B436" t="s">
        <v>898</v>
      </c>
      <c r="C436" t="s">
        <v>899</v>
      </c>
      <c r="D436">
        <v>0</v>
      </c>
      <c r="E436">
        <v>1000</v>
      </c>
      <c r="F436">
        <v>0</v>
      </c>
      <c r="G436">
        <v>0</v>
      </c>
      <c r="H436" t="s">
        <v>169</v>
      </c>
    </row>
    <row r="437" spans="1:9" ht="20.100000000000001" hidden="1" customHeight="1" x14ac:dyDescent="0.15">
      <c r="A437">
        <v>15435</v>
      </c>
      <c r="B437" t="s">
        <v>900</v>
      </c>
      <c r="C437" t="s">
        <v>901</v>
      </c>
      <c r="D437">
        <v>200</v>
      </c>
      <c r="E437">
        <v>250</v>
      </c>
      <c r="F437">
        <v>0</v>
      </c>
      <c r="G437">
        <v>0</v>
      </c>
      <c r="H437" t="s">
        <v>169</v>
      </c>
    </row>
    <row r="438" spans="1:9" ht="20.100000000000001" hidden="1" customHeight="1" x14ac:dyDescent="0.15">
      <c r="A438">
        <v>15436</v>
      </c>
      <c r="B438" t="s">
        <v>902</v>
      </c>
      <c r="C438" t="s">
        <v>903</v>
      </c>
      <c r="D438">
        <v>0</v>
      </c>
      <c r="E438">
        <v>1000</v>
      </c>
      <c r="F438">
        <v>0</v>
      </c>
      <c r="G438">
        <v>0</v>
      </c>
      <c r="H438" t="s">
        <v>169</v>
      </c>
    </row>
    <row r="439" spans="1:9" ht="20.100000000000001" hidden="1" customHeight="1" x14ac:dyDescent="0.15">
      <c r="A439">
        <v>15437</v>
      </c>
      <c r="B439" t="s">
        <v>904</v>
      </c>
      <c r="C439" t="s">
        <v>905</v>
      </c>
      <c r="D439">
        <v>0</v>
      </c>
      <c r="E439">
        <v>1000</v>
      </c>
      <c r="F439">
        <v>0</v>
      </c>
      <c r="G439">
        <v>0</v>
      </c>
      <c r="H439" t="s">
        <v>169</v>
      </c>
    </row>
    <row r="440" spans="1:9" ht="20.100000000000001" hidden="1" customHeight="1" x14ac:dyDescent="0.15">
      <c r="A440">
        <v>15438</v>
      </c>
      <c r="B440" t="s">
        <v>906</v>
      </c>
      <c r="C440" t="s">
        <v>907</v>
      </c>
      <c r="D440">
        <v>0</v>
      </c>
      <c r="E440">
        <v>100</v>
      </c>
      <c r="F440">
        <v>0</v>
      </c>
      <c r="G440">
        <v>0</v>
      </c>
      <c r="H440" t="s">
        <v>169</v>
      </c>
    </row>
    <row r="441" spans="1:9" ht="20.100000000000001" hidden="1" customHeight="1" x14ac:dyDescent="0.15">
      <c r="A441">
        <v>15439</v>
      </c>
      <c r="B441" t="s">
        <v>908</v>
      </c>
      <c r="C441" t="s">
        <v>909</v>
      </c>
      <c r="D441">
        <v>0</v>
      </c>
      <c r="E441">
        <v>100</v>
      </c>
      <c r="F441">
        <v>0</v>
      </c>
      <c r="G441">
        <v>0</v>
      </c>
      <c r="H441" t="s">
        <v>169</v>
      </c>
    </row>
    <row r="442" spans="1:9" ht="20.100000000000001" hidden="1" customHeight="1" x14ac:dyDescent="0.15">
      <c r="A442">
        <v>15440</v>
      </c>
      <c r="B442" t="s">
        <v>910</v>
      </c>
      <c r="C442" t="s">
        <v>911</v>
      </c>
      <c r="D442">
        <v>0</v>
      </c>
      <c r="E442">
        <v>100</v>
      </c>
      <c r="F442">
        <v>0</v>
      </c>
      <c r="G442">
        <v>0</v>
      </c>
      <c r="H442" t="s">
        <v>169</v>
      </c>
    </row>
    <row r="443" spans="1:9" ht="20.100000000000001" hidden="1" customHeight="1" x14ac:dyDescent="0.15">
      <c r="A443">
        <v>15441</v>
      </c>
      <c r="B443" t="s">
        <v>912</v>
      </c>
      <c r="C443" t="s">
        <v>913</v>
      </c>
      <c r="D443">
        <v>20</v>
      </c>
      <c r="E443">
        <v>50</v>
      </c>
      <c r="F443">
        <v>0</v>
      </c>
      <c r="G443">
        <v>0</v>
      </c>
      <c r="H443" t="s">
        <v>166</v>
      </c>
    </row>
    <row r="444" spans="1:9" ht="20.100000000000001" hidden="1" customHeight="1" x14ac:dyDescent="0.15">
      <c r="A444">
        <v>15442</v>
      </c>
      <c r="B444" t="s">
        <v>914</v>
      </c>
      <c r="C444" t="s">
        <v>915</v>
      </c>
      <c r="D444">
        <v>0</v>
      </c>
      <c r="E444">
        <v>1</v>
      </c>
      <c r="F444">
        <v>0</v>
      </c>
      <c r="G444">
        <v>0</v>
      </c>
      <c r="H444" t="s">
        <v>169</v>
      </c>
    </row>
    <row r="445" spans="1:9" ht="20.100000000000001" hidden="1" customHeight="1" x14ac:dyDescent="0.15">
      <c r="A445">
        <v>15443</v>
      </c>
      <c r="B445" t="s">
        <v>916</v>
      </c>
      <c r="C445" t="s">
        <v>917</v>
      </c>
      <c r="D445">
        <v>0</v>
      </c>
      <c r="E445">
        <v>2000</v>
      </c>
      <c r="F445">
        <v>0</v>
      </c>
      <c r="G445">
        <v>0</v>
      </c>
      <c r="H445" t="s">
        <v>169</v>
      </c>
    </row>
    <row r="446" spans="1:9" ht="20.100000000000001" hidden="1" customHeight="1" x14ac:dyDescent="0.15">
      <c r="A446">
        <v>15444</v>
      </c>
      <c r="B446" t="s">
        <v>918</v>
      </c>
      <c r="C446" t="s">
        <v>919</v>
      </c>
      <c r="D446">
        <v>0</v>
      </c>
      <c r="E446">
        <v>2000</v>
      </c>
      <c r="F446">
        <v>0</v>
      </c>
      <c r="G446">
        <v>0</v>
      </c>
      <c r="H446" t="s">
        <v>169</v>
      </c>
    </row>
    <row r="447" spans="1:9" ht="20.100000000000001" hidden="1" customHeight="1" x14ac:dyDescent="0.15">
      <c r="A447">
        <v>15445</v>
      </c>
      <c r="B447" t="s">
        <v>920</v>
      </c>
      <c r="C447" t="s">
        <v>921</v>
      </c>
      <c r="D447">
        <v>0</v>
      </c>
      <c r="E447">
        <v>1</v>
      </c>
      <c r="F447">
        <v>0</v>
      </c>
      <c r="G447">
        <v>0</v>
      </c>
      <c r="H447" t="s">
        <v>169</v>
      </c>
    </row>
    <row r="448" spans="1:9" ht="20.100000000000001" hidden="1" customHeight="1" x14ac:dyDescent="0.15">
      <c r="A448">
        <v>15446</v>
      </c>
      <c r="B448" t="s">
        <v>922</v>
      </c>
      <c r="C448" t="s">
        <v>923</v>
      </c>
      <c r="D448">
        <v>1</v>
      </c>
      <c r="E448">
        <v>1</v>
      </c>
      <c r="F448">
        <v>0</v>
      </c>
      <c r="G448">
        <v>0</v>
      </c>
      <c r="H448" t="s">
        <v>169</v>
      </c>
    </row>
    <row r="449" spans="1:8" ht="20.100000000000001" hidden="1" customHeight="1" x14ac:dyDescent="0.15">
      <c r="A449">
        <v>15447</v>
      </c>
      <c r="B449" t="s">
        <v>924</v>
      </c>
      <c r="C449" t="s">
        <v>925</v>
      </c>
      <c r="D449">
        <v>0</v>
      </c>
      <c r="E449">
        <v>1</v>
      </c>
      <c r="F449">
        <v>0</v>
      </c>
      <c r="G449">
        <v>0</v>
      </c>
      <c r="H449" t="s">
        <v>169</v>
      </c>
    </row>
    <row r="450" spans="1:8" ht="20.100000000000001" hidden="1" customHeight="1" x14ac:dyDescent="0.15">
      <c r="A450">
        <v>15448</v>
      </c>
      <c r="B450" t="s">
        <v>926</v>
      </c>
      <c r="C450" t="s">
        <v>927</v>
      </c>
      <c r="D450">
        <v>0</v>
      </c>
      <c r="E450">
        <v>100</v>
      </c>
      <c r="F450">
        <v>0</v>
      </c>
      <c r="G450">
        <v>0</v>
      </c>
      <c r="H450" t="s">
        <v>169</v>
      </c>
    </row>
    <row r="451" spans="1:8" ht="20.100000000000001" hidden="1" customHeight="1" x14ac:dyDescent="0.15">
      <c r="A451">
        <v>15449</v>
      </c>
      <c r="B451" t="s">
        <v>928</v>
      </c>
      <c r="C451" t="s">
        <v>929</v>
      </c>
      <c r="D451">
        <v>0</v>
      </c>
      <c r="E451">
        <v>50</v>
      </c>
      <c r="F451">
        <v>0</v>
      </c>
      <c r="G451">
        <v>0</v>
      </c>
      <c r="H451" t="s">
        <v>166</v>
      </c>
    </row>
    <row r="452" spans="1:8" ht="20.100000000000001" hidden="1" customHeight="1" x14ac:dyDescent="0.15">
      <c r="A452">
        <v>15450</v>
      </c>
      <c r="B452" t="s">
        <v>930</v>
      </c>
      <c r="C452" t="s">
        <v>931</v>
      </c>
      <c r="D452">
        <v>100</v>
      </c>
      <c r="E452">
        <v>100</v>
      </c>
      <c r="F452">
        <v>0</v>
      </c>
      <c r="G452">
        <v>1</v>
      </c>
      <c r="H452" t="s">
        <v>169</v>
      </c>
    </row>
    <row r="453" spans="1:8" ht="20.100000000000001" hidden="1" customHeight="1" x14ac:dyDescent="0.15">
      <c r="A453">
        <v>15451</v>
      </c>
      <c r="B453" t="s">
        <v>932</v>
      </c>
      <c r="C453" t="s">
        <v>933</v>
      </c>
      <c r="D453">
        <v>0</v>
      </c>
      <c r="E453">
        <v>1</v>
      </c>
      <c r="F453">
        <v>0</v>
      </c>
      <c r="G453">
        <v>0</v>
      </c>
      <c r="H453" t="s">
        <v>169</v>
      </c>
    </row>
    <row r="454" spans="1:8" ht="20.100000000000001" hidden="1" customHeight="1" x14ac:dyDescent="0.15">
      <c r="A454">
        <v>15452</v>
      </c>
      <c r="B454" t="s">
        <v>934</v>
      </c>
      <c r="C454" t="s">
        <v>935</v>
      </c>
      <c r="D454">
        <v>1</v>
      </c>
      <c r="E454">
        <v>5</v>
      </c>
      <c r="F454">
        <v>1</v>
      </c>
      <c r="G454">
        <v>0</v>
      </c>
      <c r="H454" t="s">
        <v>169</v>
      </c>
    </row>
    <row r="455" spans="1:8" ht="20.100000000000001" hidden="1" customHeight="1" x14ac:dyDescent="0.15">
      <c r="A455">
        <v>15453</v>
      </c>
      <c r="B455" t="s">
        <v>936</v>
      </c>
      <c r="C455" t="s">
        <v>937</v>
      </c>
      <c r="D455">
        <v>10</v>
      </c>
      <c r="E455">
        <v>100</v>
      </c>
      <c r="F455">
        <v>0</v>
      </c>
      <c r="G455">
        <v>0</v>
      </c>
      <c r="H455" t="s">
        <v>169</v>
      </c>
    </row>
    <row r="456" spans="1:8" ht="20.100000000000001" hidden="1" customHeight="1" x14ac:dyDescent="0.15">
      <c r="A456">
        <v>15454</v>
      </c>
      <c r="B456" t="s">
        <v>938</v>
      </c>
      <c r="C456" t="s">
        <v>939</v>
      </c>
      <c r="D456">
        <v>10</v>
      </c>
      <c r="E456">
        <v>100</v>
      </c>
      <c r="F456">
        <v>0</v>
      </c>
      <c r="G456">
        <v>0</v>
      </c>
      <c r="H456" t="s">
        <v>169</v>
      </c>
    </row>
    <row r="457" spans="1:8" ht="20.100000000000001" hidden="1" customHeight="1" x14ac:dyDescent="0.15">
      <c r="A457">
        <v>15455</v>
      </c>
      <c r="B457" t="s">
        <v>940</v>
      </c>
      <c r="C457" t="s">
        <v>941</v>
      </c>
      <c r="D457">
        <v>10</v>
      </c>
      <c r="E457">
        <v>100</v>
      </c>
      <c r="F457">
        <v>0</v>
      </c>
      <c r="G457">
        <v>0</v>
      </c>
      <c r="H457" t="s">
        <v>169</v>
      </c>
    </row>
    <row r="458" spans="1:8" ht="20.100000000000001" hidden="1" customHeight="1" x14ac:dyDescent="0.15">
      <c r="A458">
        <v>15456</v>
      </c>
      <c r="B458" t="s">
        <v>942</v>
      </c>
      <c r="C458" t="s">
        <v>943</v>
      </c>
      <c r="D458">
        <v>10</v>
      </c>
      <c r="E458">
        <v>100</v>
      </c>
      <c r="F458">
        <v>0</v>
      </c>
      <c r="G458">
        <v>0</v>
      </c>
      <c r="H458" t="s">
        <v>169</v>
      </c>
    </row>
    <row r="459" spans="1:8" ht="20.100000000000001" hidden="1" customHeight="1" x14ac:dyDescent="0.15">
      <c r="A459">
        <v>15457</v>
      </c>
      <c r="B459" t="s">
        <v>944</v>
      </c>
      <c r="C459" t="s">
        <v>945</v>
      </c>
      <c r="D459">
        <v>10</v>
      </c>
      <c r="E459">
        <v>100</v>
      </c>
      <c r="F459">
        <v>0</v>
      </c>
      <c r="G459">
        <v>0</v>
      </c>
      <c r="H459" t="s">
        <v>169</v>
      </c>
    </row>
    <row r="460" spans="1:8" ht="20.100000000000001" hidden="1" customHeight="1" x14ac:dyDescent="0.15">
      <c r="A460">
        <v>15458</v>
      </c>
      <c r="B460" t="s">
        <v>946</v>
      </c>
      <c r="C460" t="s">
        <v>947</v>
      </c>
      <c r="D460">
        <v>10</v>
      </c>
      <c r="E460">
        <v>100</v>
      </c>
      <c r="F460">
        <v>0</v>
      </c>
      <c r="G460">
        <v>0</v>
      </c>
      <c r="H460" t="s">
        <v>169</v>
      </c>
    </row>
    <row r="461" spans="1:8" ht="20.100000000000001" hidden="1" customHeight="1" x14ac:dyDescent="0.15">
      <c r="A461">
        <v>15459</v>
      </c>
      <c r="B461" t="s">
        <v>948</v>
      </c>
      <c r="C461" t="s">
        <v>949</v>
      </c>
      <c r="D461">
        <v>10</v>
      </c>
      <c r="E461">
        <v>100</v>
      </c>
      <c r="F461">
        <v>0</v>
      </c>
      <c r="G461">
        <v>0</v>
      </c>
      <c r="H461" t="s">
        <v>169</v>
      </c>
    </row>
    <row r="462" spans="1:8" ht="20.100000000000001" hidden="1" customHeight="1" x14ac:dyDescent="0.15">
      <c r="A462">
        <v>15460</v>
      </c>
      <c r="B462" t="s">
        <v>950</v>
      </c>
      <c r="C462" t="s">
        <v>951</v>
      </c>
      <c r="D462">
        <v>10</v>
      </c>
      <c r="E462">
        <v>100</v>
      </c>
      <c r="F462">
        <v>0</v>
      </c>
      <c r="G462">
        <v>0</v>
      </c>
      <c r="H462" t="s">
        <v>169</v>
      </c>
    </row>
    <row r="463" spans="1:8" ht="20.100000000000001" hidden="1" customHeight="1" x14ac:dyDescent="0.15">
      <c r="A463">
        <v>15461</v>
      </c>
      <c r="B463" t="s">
        <v>952</v>
      </c>
      <c r="C463" t="s">
        <v>953</v>
      </c>
      <c r="D463">
        <v>10</v>
      </c>
      <c r="E463">
        <v>100</v>
      </c>
      <c r="F463">
        <v>0</v>
      </c>
      <c r="G463">
        <v>0</v>
      </c>
      <c r="H463" t="s">
        <v>169</v>
      </c>
    </row>
    <row r="464" spans="1:8" ht="20.100000000000001" hidden="1" customHeight="1" x14ac:dyDescent="0.15">
      <c r="A464">
        <v>15462</v>
      </c>
      <c r="B464" t="s">
        <v>954</v>
      </c>
      <c r="C464" t="s">
        <v>955</v>
      </c>
      <c r="D464">
        <v>10</v>
      </c>
      <c r="E464">
        <v>100</v>
      </c>
      <c r="F464">
        <v>0</v>
      </c>
      <c r="G464">
        <v>0</v>
      </c>
      <c r="H464" t="s">
        <v>169</v>
      </c>
    </row>
    <row r="465" spans="1:8" ht="20.100000000000001" hidden="1" customHeight="1" x14ac:dyDescent="0.15">
      <c r="A465">
        <v>15463</v>
      </c>
      <c r="B465" t="s">
        <v>956</v>
      </c>
      <c r="C465" t="s">
        <v>217</v>
      </c>
      <c r="D465">
        <v>0</v>
      </c>
      <c r="E465">
        <v>1</v>
      </c>
      <c r="F465">
        <v>0</v>
      </c>
      <c r="G465">
        <v>0</v>
      </c>
      <c r="H465" t="s">
        <v>169</v>
      </c>
    </row>
    <row r="466" spans="1:8" ht="20.100000000000001" hidden="1" customHeight="1" x14ac:dyDescent="0.15">
      <c r="A466">
        <v>15464</v>
      </c>
      <c r="B466" t="s">
        <v>957</v>
      </c>
      <c r="C466" t="s">
        <v>958</v>
      </c>
      <c r="D466">
        <v>1</v>
      </c>
      <c r="E466">
        <v>5</v>
      </c>
      <c r="F466">
        <v>1</v>
      </c>
      <c r="G466">
        <v>0</v>
      </c>
      <c r="H466" t="s">
        <v>169</v>
      </c>
    </row>
    <row r="467" spans="1:8" ht="20.100000000000001" hidden="1" customHeight="1" x14ac:dyDescent="0.15">
      <c r="A467">
        <v>15465</v>
      </c>
      <c r="B467" t="s">
        <v>959</v>
      </c>
      <c r="C467" t="s">
        <v>960</v>
      </c>
      <c r="D467">
        <v>0</v>
      </c>
      <c r="E467">
        <v>100</v>
      </c>
      <c r="F467">
        <v>0</v>
      </c>
      <c r="G467">
        <v>0</v>
      </c>
      <c r="H467" t="s">
        <v>169</v>
      </c>
    </row>
    <row r="468" spans="1:8" ht="20.100000000000001" hidden="1" customHeight="1" x14ac:dyDescent="0.15">
      <c r="A468">
        <v>15466</v>
      </c>
      <c r="B468" t="s">
        <v>961</v>
      </c>
      <c r="C468" t="s">
        <v>962</v>
      </c>
      <c r="D468">
        <v>0</v>
      </c>
      <c r="E468">
        <v>100</v>
      </c>
      <c r="F468">
        <v>0</v>
      </c>
      <c r="G468">
        <v>0</v>
      </c>
      <c r="H468" t="s">
        <v>169</v>
      </c>
    </row>
    <row r="469" spans="1:8" ht="20.100000000000001" hidden="1" customHeight="1" x14ac:dyDescent="0.15">
      <c r="A469">
        <v>15467</v>
      </c>
      <c r="B469" t="s">
        <v>963</v>
      </c>
      <c r="C469" t="s">
        <v>964</v>
      </c>
      <c r="D469">
        <v>0</v>
      </c>
      <c r="E469">
        <v>100</v>
      </c>
      <c r="F469">
        <v>0</v>
      </c>
      <c r="G469">
        <v>0</v>
      </c>
      <c r="H469" t="s">
        <v>169</v>
      </c>
    </row>
    <row r="470" spans="1:8" ht="20.100000000000001" hidden="1" customHeight="1" x14ac:dyDescent="0.15">
      <c r="A470">
        <v>15468</v>
      </c>
      <c r="B470" t="s">
        <v>965</v>
      </c>
      <c r="C470" t="s">
        <v>966</v>
      </c>
      <c r="D470">
        <v>0</v>
      </c>
      <c r="E470">
        <v>100</v>
      </c>
      <c r="F470">
        <v>0</v>
      </c>
      <c r="G470">
        <v>0</v>
      </c>
      <c r="H470" t="s">
        <v>169</v>
      </c>
    </row>
    <row r="471" spans="1:8" ht="20.100000000000001" hidden="1" customHeight="1" x14ac:dyDescent="0.15">
      <c r="A471">
        <v>15469</v>
      </c>
      <c r="B471" t="s">
        <v>967</v>
      </c>
      <c r="C471" t="s">
        <v>968</v>
      </c>
      <c r="D471">
        <v>0</v>
      </c>
      <c r="E471">
        <v>100</v>
      </c>
      <c r="F471">
        <v>0</v>
      </c>
      <c r="G471">
        <v>0</v>
      </c>
      <c r="H471" t="s">
        <v>169</v>
      </c>
    </row>
    <row r="472" spans="1:8" ht="20.100000000000001" hidden="1" customHeight="1" x14ac:dyDescent="0.15">
      <c r="A472">
        <v>15470</v>
      </c>
      <c r="B472" t="s">
        <v>969</v>
      </c>
      <c r="C472" t="s">
        <v>970</v>
      </c>
      <c r="D472">
        <v>0</v>
      </c>
      <c r="E472">
        <v>100</v>
      </c>
      <c r="F472">
        <v>0</v>
      </c>
      <c r="G472">
        <v>0</v>
      </c>
      <c r="H472" t="s">
        <v>169</v>
      </c>
    </row>
    <row r="473" spans="1:8" ht="20.100000000000001" hidden="1" customHeight="1" x14ac:dyDescent="0.15">
      <c r="A473">
        <v>15471</v>
      </c>
      <c r="B473" t="s">
        <v>971</v>
      </c>
      <c r="C473" t="s">
        <v>972</v>
      </c>
      <c r="D473">
        <v>0</v>
      </c>
      <c r="E473">
        <v>100</v>
      </c>
      <c r="F473">
        <v>0</v>
      </c>
      <c r="G473">
        <v>0</v>
      </c>
      <c r="H473" t="s">
        <v>169</v>
      </c>
    </row>
    <row r="474" spans="1:8" ht="20.100000000000001" hidden="1" customHeight="1" x14ac:dyDescent="0.15">
      <c r="A474">
        <v>15472</v>
      </c>
      <c r="B474" t="s">
        <v>973</v>
      </c>
      <c r="C474" t="s">
        <v>974</v>
      </c>
      <c r="D474">
        <v>0</v>
      </c>
      <c r="E474">
        <v>100</v>
      </c>
      <c r="F474">
        <v>0</v>
      </c>
      <c r="G474">
        <v>0</v>
      </c>
      <c r="H474" t="s">
        <v>169</v>
      </c>
    </row>
    <row r="475" spans="1:8" ht="20.100000000000001" hidden="1" customHeight="1" x14ac:dyDescent="0.15">
      <c r="A475">
        <v>15473</v>
      </c>
      <c r="B475" t="s">
        <v>975</v>
      </c>
      <c r="C475" t="s">
        <v>976</v>
      </c>
      <c r="D475">
        <v>0</v>
      </c>
      <c r="E475">
        <v>500</v>
      </c>
      <c r="F475">
        <v>0</v>
      </c>
      <c r="G475">
        <v>0</v>
      </c>
      <c r="H475" t="s">
        <v>129</v>
      </c>
    </row>
    <row r="476" spans="1:8" ht="20.100000000000001" hidden="1" customHeight="1" x14ac:dyDescent="0.15">
      <c r="A476">
        <v>15474</v>
      </c>
      <c r="B476" t="s">
        <v>977</v>
      </c>
      <c r="C476" t="s">
        <v>978</v>
      </c>
      <c r="D476">
        <v>0</v>
      </c>
      <c r="E476">
        <v>1000</v>
      </c>
      <c r="F476">
        <v>0</v>
      </c>
      <c r="G476">
        <v>0</v>
      </c>
      <c r="H476" t="s">
        <v>169</v>
      </c>
    </row>
    <row r="477" spans="1:8" ht="20.100000000000001" hidden="1" customHeight="1" x14ac:dyDescent="0.15">
      <c r="A477">
        <v>15475</v>
      </c>
      <c r="B477" t="s">
        <v>979</v>
      </c>
      <c r="C477" t="s">
        <v>980</v>
      </c>
      <c r="D477">
        <v>0</v>
      </c>
      <c r="E477" t="s">
        <v>70</v>
      </c>
      <c r="F477">
        <v>0</v>
      </c>
      <c r="G477">
        <v>0</v>
      </c>
      <c r="H477" t="s">
        <v>169</v>
      </c>
    </row>
    <row r="478" spans="1:8" ht="20.100000000000001" hidden="1" customHeight="1" x14ac:dyDescent="0.15">
      <c r="A478">
        <v>15476</v>
      </c>
      <c r="B478" t="s">
        <v>981</v>
      </c>
      <c r="C478" t="s">
        <v>982</v>
      </c>
      <c r="D478">
        <v>0</v>
      </c>
      <c r="E478">
        <v>255</v>
      </c>
      <c r="F478">
        <v>0</v>
      </c>
      <c r="G478">
        <v>0</v>
      </c>
      <c r="H478" t="s">
        <v>169</v>
      </c>
    </row>
    <row r="479" spans="1:8" ht="20.100000000000001" hidden="1" customHeight="1" x14ac:dyDescent="0.15">
      <c r="A479">
        <v>15477</v>
      </c>
      <c r="B479" t="s">
        <v>983</v>
      </c>
      <c r="C479" t="s">
        <v>984</v>
      </c>
      <c r="D479">
        <v>0</v>
      </c>
      <c r="E479">
        <v>255</v>
      </c>
      <c r="F479">
        <v>0</v>
      </c>
      <c r="G479">
        <v>0</v>
      </c>
      <c r="H479" t="s">
        <v>169</v>
      </c>
    </row>
    <row r="480" spans="1:8" ht="20.100000000000001" hidden="1" customHeight="1" x14ac:dyDescent="0.15">
      <c r="A480">
        <v>15478</v>
      </c>
      <c r="B480" t="s">
        <v>985</v>
      </c>
      <c r="C480" t="s">
        <v>986</v>
      </c>
      <c r="D480">
        <v>5</v>
      </c>
      <c r="E480">
        <v>11</v>
      </c>
      <c r="F480">
        <v>0</v>
      </c>
      <c r="G480">
        <v>0</v>
      </c>
      <c r="H480" t="s">
        <v>169</v>
      </c>
    </row>
    <row r="481" spans="1:8" ht="20.100000000000001" hidden="1" customHeight="1" x14ac:dyDescent="0.15">
      <c r="A481">
        <v>15479</v>
      </c>
      <c r="B481" t="s">
        <v>987</v>
      </c>
      <c r="C481" t="s">
        <v>988</v>
      </c>
      <c r="D481">
        <v>2</v>
      </c>
      <c r="E481">
        <v>49</v>
      </c>
      <c r="F481">
        <v>2</v>
      </c>
      <c r="G481">
        <v>0</v>
      </c>
      <c r="H481" t="s">
        <v>169</v>
      </c>
    </row>
    <row r="482" spans="1:8" ht="20.100000000000001" hidden="1" customHeight="1" x14ac:dyDescent="0.15">
      <c r="A482">
        <v>15480</v>
      </c>
      <c r="B482" t="s">
        <v>989</v>
      </c>
      <c r="C482" t="s">
        <v>990</v>
      </c>
      <c r="D482">
        <v>0</v>
      </c>
      <c r="E482">
        <v>1</v>
      </c>
      <c r="F482">
        <v>0</v>
      </c>
      <c r="G482">
        <v>0</v>
      </c>
      <c r="H482" t="s">
        <v>169</v>
      </c>
    </row>
    <row r="483" spans="1:8" ht="20.100000000000001" hidden="1" customHeight="1" x14ac:dyDescent="0.15">
      <c r="A483">
        <v>15481</v>
      </c>
      <c r="B483" t="s">
        <v>991</v>
      </c>
      <c r="C483" t="s">
        <v>992</v>
      </c>
      <c r="D483">
        <v>50</v>
      </c>
      <c r="E483">
        <v>100</v>
      </c>
      <c r="F483">
        <v>0</v>
      </c>
      <c r="G483">
        <v>0</v>
      </c>
      <c r="H483" t="s">
        <v>129</v>
      </c>
    </row>
    <row r="484" spans="1:8" ht="20.100000000000001" hidden="1" customHeight="1" x14ac:dyDescent="0.15">
      <c r="A484">
        <v>15482</v>
      </c>
      <c r="B484" t="s">
        <v>993</v>
      </c>
      <c r="C484" t="s">
        <v>994</v>
      </c>
      <c r="D484">
        <v>0</v>
      </c>
      <c r="E484" t="s">
        <v>70</v>
      </c>
      <c r="F484">
        <v>0</v>
      </c>
      <c r="G484">
        <v>0</v>
      </c>
      <c r="H484" t="s">
        <v>129</v>
      </c>
    </row>
    <row r="485" spans="1:8" ht="20.100000000000001" hidden="1" customHeight="1" x14ac:dyDescent="0.15">
      <c r="A485">
        <v>15483</v>
      </c>
      <c r="B485" t="s">
        <v>995</v>
      </c>
      <c r="C485" t="s">
        <v>996</v>
      </c>
      <c r="D485">
        <v>0</v>
      </c>
      <c r="E485">
        <v>1</v>
      </c>
      <c r="F485">
        <v>0</v>
      </c>
      <c r="G485">
        <v>0</v>
      </c>
      <c r="H485" t="s">
        <v>169</v>
      </c>
    </row>
    <row r="486" spans="1:8" ht="20.100000000000001" hidden="1" customHeight="1" x14ac:dyDescent="0.15">
      <c r="A486">
        <v>15484</v>
      </c>
      <c r="B486" t="s">
        <v>997</v>
      </c>
      <c r="C486" t="s">
        <v>998</v>
      </c>
      <c r="D486">
        <v>1</v>
      </c>
      <c r="E486">
        <v>10</v>
      </c>
      <c r="F486">
        <v>0</v>
      </c>
      <c r="G486">
        <v>0</v>
      </c>
      <c r="H486" t="s">
        <v>169</v>
      </c>
    </row>
    <row r="487" spans="1:8" ht="20.100000000000001" hidden="1" customHeight="1" x14ac:dyDescent="0.15">
      <c r="A487">
        <v>15485</v>
      </c>
      <c r="B487" t="s">
        <v>999</v>
      </c>
      <c r="C487" t="s">
        <v>1000</v>
      </c>
      <c r="D487">
        <v>0</v>
      </c>
      <c r="E487">
        <v>1</v>
      </c>
      <c r="F487">
        <v>0</v>
      </c>
      <c r="G487">
        <v>0</v>
      </c>
      <c r="H487" t="s">
        <v>169</v>
      </c>
    </row>
    <row r="488" spans="1:8" ht="20.100000000000001" hidden="1" customHeight="1" x14ac:dyDescent="0.15">
      <c r="A488">
        <v>15486</v>
      </c>
      <c r="B488" t="s">
        <v>1001</v>
      </c>
      <c r="C488" t="s">
        <v>1002</v>
      </c>
      <c r="D488">
        <v>0</v>
      </c>
      <c r="E488">
        <v>100</v>
      </c>
      <c r="F488">
        <v>0</v>
      </c>
      <c r="G488">
        <v>0</v>
      </c>
      <c r="H488" t="s">
        <v>169</v>
      </c>
    </row>
    <row r="489" spans="1:8" ht="20.100000000000001" hidden="1" customHeight="1" x14ac:dyDescent="0.15">
      <c r="A489">
        <v>15487</v>
      </c>
      <c r="B489" t="s">
        <v>1003</v>
      </c>
      <c r="C489" t="s">
        <v>1004</v>
      </c>
      <c r="D489">
        <v>0</v>
      </c>
      <c r="E489">
        <v>100</v>
      </c>
      <c r="F489">
        <v>0</v>
      </c>
      <c r="G489">
        <v>0</v>
      </c>
      <c r="H489" t="s">
        <v>169</v>
      </c>
    </row>
    <row r="490" spans="1:8" ht="20.100000000000001" hidden="1" customHeight="1" x14ac:dyDescent="0.15">
      <c r="A490">
        <v>15488</v>
      </c>
      <c r="B490" t="s">
        <v>1005</v>
      </c>
      <c r="C490" t="s">
        <v>1006</v>
      </c>
      <c r="D490">
        <v>0</v>
      </c>
      <c r="E490">
        <v>1</v>
      </c>
      <c r="F490">
        <v>0</v>
      </c>
      <c r="G490">
        <v>0</v>
      </c>
      <c r="H490" t="s">
        <v>169</v>
      </c>
    </row>
    <row r="491" spans="1:8" ht="20.100000000000001" hidden="1" customHeight="1" x14ac:dyDescent="0.15">
      <c r="A491">
        <v>15489</v>
      </c>
      <c r="B491" t="s">
        <v>1007</v>
      </c>
      <c r="C491" t="s">
        <v>1008</v>
      </c>
      <c r="D491">
        <v>1</v>
      </c>
      <c r="E491">
        <v>11</v>
      </c>
      <c r="F491">
        <v>0</v>
      </c>
      <c r="G491">
        <v>0</v>
      </c>
      <c r="H491" t="s">
        <v>169</v>
      </c>
    </row>
    <row r="492" spans="1:8" ht="20.100000000000001" hidden="1" customHeight="1" x14ac:dyDescent="0.15">
      <c r="A492">
        <v>15490</v>
      </c>
      <c r="B492" t="s">
        <v>1009</v>
      </c>
      <c r="C492" t="s">
        <v>1010</v>
      </c>
      <c r="D492">
        <v>10</v>
      </c>
      <c r="E492">
        <v>49</v>
      </c>
      <c r="F492">
        <v>2</v>
      </c>
      <c r="G492">
        <v>0</v>
      </c>
      <c r="H492" t="s">
        <v>169</v>
      </c>
    </row>
    <row r="493" spans="1:8" ht="20.100000000000001" hidden="1" customHeight="1" x14ac:dyDescent="0.15">
      <c r="A493">
        <v>15491</v>
      </c>
      <c r="B493" t="s">
        <v>1011</v>
      </c>
      <c r="C493" t="s">
        <v>1012</v>
      </c>
      <c r="D493">
        <v>1</v>
      </c>
      <c r="E493">
        <v>1</v>
      </c>
      <c r="F493">
        <v>0</v>
      </c>
      <c r="G493">
        <v>0</v>
      </c>
      <c r="H493" t="s">
        <v>182</v>
      </c>
    </row>
    <row r="494" spans="1:8" ht="20.100000000000001" hidden="1" customHeight="1" x14ac:dyDescent="0.15">
      <c r="A494">
        <v>15492</v>
      </c>
      <c r="B494" t="s">
        <v>1013</v>
      </c>
      <c r="C494" t="s">
        <v>1014</v>
      </c>
      <c r="D494">
        <v>0</v>
      </c>
      <c r="E494">
        <v>127</v>
      </c>
      <c r="F494">
        <v>0</v>
      </c>
      <c r="G494">
        <v>0</v>
      </c>
      <c r="H494" t="s">
        <v>129</v>
      </c>
    </row>
    <row r="495" spans="1:8" ht="20.100000000000001" hidden="1" customHeight="1" x14ac:dyDescent="0.15">
      <c r="A495">
        <v>15493</v>
      </c>
      <c r="B495" t="s">
        <v>1015</v>
      </c>
      <c r="C495" t="s">
        <v>1016</v>
      </c>
      <c r="D495">
        <v>100</v>
      </c>
      <c r="E495">
        <v>1500</v>
      </c>
      <c r="F495">
        <v>0</v>
      </c>
      <c r="G495">
        <v>0</v>
      </c>
      <c r="H495" t="s">
        <v>166</v>
      </c>
    </row>
    <row r="496" spans="1:8" ht="20.100000000000001" hidden="1" customHeight="1" x14ac:dyDescent="0.15">
      <c r="A496">
        <v>15494</v>
      </c>
      <c r="B496" t="s">
        <v>1017</v>
      </c>
      <c r="C496" t="s">
        <v>1018</v>
      </c>
      <c r="D496">
        <v>300</v>
      </c>
      <c r="E496">
        <v>1000</v>
      </c>
      <c r="F496">
        <v>0</v>
      </c>
      <c r="G496">
        <v>0</v>
      </c>
      <c r="H496" t="s">
        <v>169</v>
      </c>
    </row>
    <row r="497" spans="1:8" ht="20.100000000000001" hidden="1" customHeight="1" x14ac:dyDescent="0.15">
      <c r="A497">
        <v>15495</v>
      </c>
      <c r="B497" t="s">
        <v>1019</v>
      </c>
      <c r="C497" t="s">
        <v>1020</v>
      </c>
      <c r="D497">
        <v>10</v>
      </c>
      <c r="E497">
        <v>49</v>
      </c>
      <c r="F497">
        <v>2</v>
      </c>
      <c r="G497">
        <v>0</v>
      </c>
      <c r="H497" t="s">
        <v>169</v>
      </c>
    </row>
    <row r="498" spans="1:8" ht="20.100000000000001" hidden="1" customHeight="1" x14ac:dyDescent="0.15">
      <c r="A498">
        <v>15496</v>
      </c>
      <c r="B498" t="s">
        <v>1021</v>
      </c>
      <c r="C498" t="s">
        <v>1022</v>
      </c>
      <c r="D498">
        <v>25</v>
      </c>
      <c r="E498">
        <v>50</v>
      </c>
      <c r="F498">
        <v>0</v>
      </c>
      <c r="G498">
        <v>0</v>
      </c>
      <c r="H498" t="s">
        <v>169</v>
      </c>
    </row>
    <row r="499" spans="1:8" ht="20.100000000000001" hidden="1" customHeight="1" x14ac:dyDescent="0.15">
      <c r="A499">
        <v>15497</v>
      </c>
      <c r="B499" t="s">
        <v>1023</v>
      </c>
      <c r="C499" t="s">
        <v>1024</v>
      </c>
      <c r="D499">
        <v>0</v>
      </c>
      <c r="E499">
        <v>10000</v>
      </c>
      <c r="F499">
        <v>0</v>
      </c>
      <c r="G499">
        <v>0</v>
      </c>
      <c r="H499" t="s">
        <v>169</v>
      </c>
    </row>
    <row r="500" spans="1:8" ht="20.100000000000001" hidden="1" customHeight="1" x14ac:dyDescent="0.15">
      <c r="A500">
        <v>15498</v>
      </c>
      <c r="B500" t="s">
        <v>1025</v>
      </c>
      <c r="C500" t="s">
        <v>1026</v>
      </c>
      <c r="D500">
        <v>0</v>
      </c>
      <c r="E500">
        <v>200</v>
      </c>
      <c r="F500">
        <v>0</v>
      </c>
      <c r="G500">
        <v>0</v>
      </c>
      <c r="H500" t="s">
        <v>129</v>
      </c>
    </row>
    <row r="501" spans="1:8" ht="20.100000000000001" hidden="1" customHeight="1" x14ac:dyDescent="0.15">
      <c r="A501">
        <v>15499</v>
      </c>
      <c r="B501" t="s">
        <v>1027</v>
      </c>
      <c r="C501" t="s">
        <v>217</v>
      </c>
      <c r="D501">
        <v>0</v>
      </c>
      <c r="E501">
        <v>1</v>
      </c>
      <c r="F501">
        <v>0</v>
      </c>
      <c r="G501">
        <v>0</v>
      </c>
      <c r="H501" t="s">
        <v>129</v>
      </c>
    </row>
    <row r="502" spans="1:8" ht="20.100000000000001" hidden="1" customHeight="1" x14ac:dyDescent="0.15">
      <c r="A502">
        <v>15500</v>
      </c>
      <c r="B502" t="s">
        <v>1028</v>
      </c>
      <c r="C502" t="s">
        <v>217</v>
      </c>
      <c r="D502">
        <v>0</v>
      </c>
      <c r="E502">
        <v>1</v>
      </c>
      <c r="F502">
        <v>0</v>
      </c>
      <c r="G502">
        <v>0</v>
      </c>
      <c r="H502" t="s">
        <v>129</v>
      </c>
    </row>
    <row r="503" spans="1:8" ht="20.100000000000001" hidden="1" customHeight="1" x14ac:dyDescent="0.15">
      <c r="A503">
        <v>15501</v>
      </c>
      <c r="B503" t="s">
        <v>1029</v>
      </c>
      <c r="C503" t="s">
        <v>217</v>
      </c>
      <c r="D503">
        <v>0</v>
      </c>
      <c r="E503">
        <v>1</v>
      </c>
      <c r="F503">
        <v>0</v>
      </c>
      <c r="G503">
        <v>0</v>
      </c>
      <c r="H503" t="s">
        <v>129</v>
      </c>
    </row>
    <row r="504" spans="1:8" ht="20.100000000000001" hidden="1" customHeight="1" x14ac:dyDescent="0.15">
      <c r="A504">
        <v>15502</v>
      </c>
      <c r="B504" t="s">
        <v>1030</v>
      </c>
      <c r="C504" t="s">
        <v>217</v>
      </c>
      <c r="D504">
        <v>0</v>
      </c>
      <c r="E504">
        <v>1</v>
      </c>
      <c r="F504">
        <v>0</v>
      </c>
      <c r="G504">
        <v>0</v>
      </c>
      <c r="H504" t="s">
        <v>129</v>
      </c>
    </row>
    <row r="505" spans="1:8" ht="20.100000000000001" hidden="1" customHeight="1" x14ac:dyDescent="0.15">
      <c r="A505">
        <v>15503</v>
      </c>
      <c r="B505" t="s">
        <v>1031</v>
      </c>
      <c r="C505" t="s">
        <v>217</v>
      </c>
      <c r="D505">
        <v>0</v>
      </c>
      <c r="E505">
        <v>1</v>
      </c>
      <c r="F505">
        <v>0</v>
      </c>
      <c r="G505">
        <v>0</v>
      </c>
      <c r="H505" t="s">
        <v>129</v>
      </c>
    </row>
    <row r="506" spans="1:8" ht="20.100000000000001" hidden="1" customHeight="1" x14ac:dyDescent="0.15">
      <c r="A506">
        <v>15504</v>
      </c>
      <c r="B506" t="s">
        <v>1032</v>
      </c>
      <c r="C506" t="s">
        <v>217</v>
      </c>
      <c r="D506">
        <v>0</v>
      </c>
      <c r="E506">
        <v>1</v>
      </c>
      <c r="F506">
        <v>0</v>
      </c>
      <c r="G506">
        <v>0</v>
      </c>
      <c r="H506" t="s">
        <v>129</v>
      </c>
    </row>
    <row r="507" spans="1:8" ht="20.100000000000001" hidden="1" customHeight="1" x14ac:dyDescent="0.15">
      <c r="A507">
        <v>15505</v>
      </c>
      <c r="B507" t="s">
        <v>1033</v>
      </c>
      <c r="C507" t="s">
        <v>217</v>
      </c>
      <c r="D507">
        <v>0</v>
      </c>
      <c r="E507">
        <v>1</v>
      </c>
      <c r="F507">
        <v>0</v>
      </c>
      <c r="G507">
        <v>0</v>
      </c>
      <c r="H507" t="s">
        <v>129</v>
      </c>
    </row>
    <row r="508" spans="1:8" ht="20.100000000000001" hidden="1" customHeight="1" x14ac:dyDescent="0.15">
      <c r="A508">
        <v>15506</v>
      </c>
      <c r="B508" t="s">
        <v>1034</v>
      </c>
      <c r="C508" t="s">
        <v>217</v>
      </c>
      <c r="D508">
        <v>0</v>
      </c>
      <c r="E508">
        <v>1</v>
      </c>
      <c r="F508">
        <v>0</v>
      </c>
      <c r="G508">
        <v>0</v>
      </c>
      <c r="H508" t="s">
        <v>129</v>
      </c>
    </row>
    <row r="509" spans="1:8" ht="20.100000000000001" hidden="1" customHeight="1" x14ac:dyDescent="0.15">
      <c r="A509">
        <v>15507</v>
      </c>
      <c r="B509" t="s">
        <v>1035</v>
      </c>
      <c r="C509" t="s">
        <v>217</v>
      </c>
      <c r="D509">
        <v>0</v>
      </c>
      <c r="E509">
        <v>1</v>
      </c>
      <c r="F509">
        <v>0</v>
      </c>
      <c r="G509">
        <v>0</v>
      </c>
      <c r="H509" t="s">
        <v>129</v>
      </c>
    </row>
    <row r="510" spans="1:8" ht="20.100000000000001" hidden="1" customHeight="1" x14ac:dyDescent="0.15">
      <c r="A510">
        <v>15508</v>
      </c>
      <c r="B510" t="s">
        <v>1036</v>
      </c>
      <c r="C510" t="s">
        <v>217</v>
      </c>
      <c r="D510">
        <v>0</v>
      </c>
      <c r="E510">
        <v>1</v>
      </c>
      <c r="F510">
        <v>0</v>
      </c>
      <c r="G510">
        <v>0</v>
      </c>
      <c r="H510" t="s">
        <v>129</v>
      </c>
    </row>
    <row r="511" spans="1:8" ht="20.100000000000001" hidden="1" customHeight="1" x14ac:dyDescent="0.15">
      <c r="A511">
        <v>15509</v>
      </c>
      <c r="B511" t="s">
        <v>1037</v>
      </c>
      <c r="C511" t="s">
        <v>217</v>
      </c>
      <c r="D511">
        <v>0</v>
      </c>
      <c r="E511">
        <v>1</v>
      </c>
      <c r="F511">
        <v>0</v>
      </c>
      <c r="G511">
        <v>0</v>
      </c>
      <c r="H511" t="s">
        <v>129</v>
      </c>
    </row>
    <row r="512" spans="1:8" ht="20.100000000000001" hidden="1" customHeight="1" x14ac:dyDescent="0.15">
      <c r="A512">
        <v>15510</v>
      </c>
      <c r="B512" t="s">
        <v>1038</v>
      </c>
      <c r="C512" t="s">
        <v>217</v>
      </c>
      <c r="D512">
        <v>0</v>
      </c>
      <c r="E512">
        <v>1</v>
      </c>
      <c r="F512">
        <v>0</v>
      </c>
      <c r="G512">
        <v>0</v>
      </c>
      <c r="H512" t="s">
        <v>129</v>
      </c>
    </row>
    <row r="513" spans="1:8" ht="20.100000000000001" hidden="1" customHeight="1" x14ac:dyDescent="0.15">
      <c r="A513">
        <v>15511</v>
      </c>
      <c r="B513" t="s">
        <v>1039</v>
      </c>
      <c r="C513" t="s">
        <v>217</v>
      </c>
      <c r="D513">
        <v>0</v>
      </c>
      <c r="E513">
        <v>1</v>
      </c>
      <c r="F513">
        <v>0</v>
      </c>
      <c r="G513">
        <v>0</v>
      </c>
      <c r="H513" t="s">
        <v>129</v>
      </c>
    </row>
    <row r="514" spans="1:8" ht="20.100000000000001" hidden="1" customHeight="1" x14ac:dyDescent="0.15">
      <c r="A514">
        <v>15512</v>
      </c>
      <c r="B514" t="s">
        <v>1040</v>
      </c>
      <c r="C514" t="s">
        <v>217</v>
      </c>
      <c r="D514">
        <v>0</v>
      </c>
      <c r="E514">
        <v>1</v>
      </c>
      <c r="F514">
        <v>0</v>
      </c>
      <c r="G514">
        <v>0</v>
      </c>
      <c r="H514" t="s">
        <v>129</v>
      </c>
    </row>
    <row r="515" spans="1:8" ht="20.100000000000001" hidden="1" customHeight="1" x14ac:dyDescent="0.15">
      <c r="A515">
        <v>15513</v>
      </c>
      <c r="B515" t="s">
        <v>1041</v>
      </c>
      <c r="C515" t="s">
        <v>217</v>
      </c>
      <c r="D515">
        <v>0</v>
      </c>
      <c r="E515">
        <v>1</v>
      </c>
      <c r="F515">
        <v>0</v>
      </c>
      <c r="G515">
        <v>0</v>
      </c>
      <c r="H515" t="s">
        <v>129</v>
      </c>
    </row>
    <row r="516" spans="1:8" ht="20.100000000000001" hidden="1" customHeight="1" x14ac:dyDescent="0.15">
      <c r="A516">
        <v>15514</v>
      </c>
      <c r="B516" t="s">
        <v>1042</v>
      </c>
      <c r="C516" t="s">
        <v>217</v>
      </c>
      <c r="D516">
        <v>0</v>
      </c>
      <c r="E516">
        <v>1</v>
      </c>
      <c r="F516">
        <v>0</v>
      </c>
      <c r="G516">
        <v>0</v>
      </c>
      <c r="H516" t="s">
        <v>129</v>
      </c>
    </row>
    <row r="517" spans="1:8" ht="20.100000000000001" hidden="1" customHeight="1" x14ac:dyDescent="0.15">
      <c r="A517">
        <v>15515</v>
      </c>
      <c r="B517" t="s">
        <v>1043</v>
      </c>
      <c r="C517" t="s">
        <v>217</v>
      </c>
      <c r="D517">
        <v>0</v>
      </c>
      <c r="E517">
        <v>1</v>
      </c>
      <c r="F517">
        <v>0</v>
      </c>
      <c r="G517">
        <v>0</v>
      </c>
      <c r="H517" t="s">
        <v>129</v>
      </c>
    </row>
    <row r="518" spans="1:8" ht="20.100000000000001" hidden="1" customHeight="1" x14ac:dyDescent="0.15">
      <c r="A518">
        <v>15516</v>
      </c>
      <c r="B518" t="s">
        <v>1044</v>
      </c>
      <c r="C518" t="s">
        <v>217</v>
      </c>
      <c r="D518">
        <v>0</v>
      </c>
      <c r="E518">
        <v>1</v>
      </c>
      <c r="F518">
        <v>0</v>
      </c>
      <c r="G518">
        <v>0</v>
      </c>
      <c r="H518" t="s">
        <v>129</v>
      </c>
    </row>
    <row r="519" spans="1:8" ht="20.100000000000001" hidden="1" customHeight="1" x14ac:dyDescent="0.15">
      <c r="A519">
        <v>15517</v>
      </c>
      <c r="B519" t="s">
        <v>1045</v>
      </c>
      <c r="C519" t="s">
        <v>217</v>
      </c>
      <c r="D519">
        <v>0</v>
      </c>
      <c r="E519">
        <v>1</v>
      </c>
      <c r="F519">
        <v>0</v>
      </c>
      <c r="G519">
        <v>0</v>
      </c>
      <c r="H519" t="s">
        <v>129</v>
      </c>
    </row>
    <row r="520" spans="1:8" ht="20.100000000000001" hidden="1" customHeight="1" x14ac:dyDescent="0.15">
      <c r="A520">
        <v>15518</v>
      </c>
      <c r="B520" t="s">
        <v>1046</v>
      </c>
      <c r="C520" t="s">
        <v>217</v>
      </c>
      <c r="D520">
        <v>0</v>
      </c>
      <c r="E520">
        <v>1</v>
      </c>
      <c r="F520">
        <v>0</v>
      </c>
      <c r="G520">
        <v>0</v>
      </c>
      <c r="H520" t="s">
        <v>129</v>
      </c>
    </row>
    <row r="521" spans="1:8" ht="20.100000000000001" hidden="1" customHeight="1" x14ac:dyDescent="0.15">
      <c r="A521">
        <v>15519</v>
      </c>
      <c r="B521" t="s">
        <v>1047</v>
      </c>
      <c r="C521" t="s">
        <v>217</v>
      </c>
      <c r="D521">
        <v>0</v>
      </c>
      <c r="E521">
        <v>1</v>
      </c>
      <c r="F521">
        <v>0</v>
      </c>
      <c r="G521">
        <v>0</v>
      </c>
      <c r="H521" t="s">
        <v>129</v>
      </c>
    </row>
    <row r="522" spans="1:8" ht="20.100000000000001" hidden="1" customHeight="1" x14ac:dyDescent="0.15">
      <c r="A522">
        <v>15520</v>
      </c>
      <c r="B522" t="s">
        <v>1048</v>
      </c>
      <c r="C522" t="s">
        <v>217</v>
      </c>
      <c r="D522">
        <v>0</v>
      </c>
      <c r="E522">
        <v>1</v>
      </c>
      <c r="F522">
        <v>0</v>
      </c>
      <c r="G522">
        <v>0</v>
      </c>
      <c r="H522" t="s">
        <v>129</v>
      </c>
    </row>
    <row r="523" spans="1:8" ht="20.100000000000001" hidden="1" customHeight="1" x14ac:dyDescent="0.15">
      <c r="A523">
        <v>15521</v>
      </c>
      <c r="B523" t="s">
        <v>1049</v>
      </c>
      <c r="C523" t="s">
        <v>217</v>
      </c>
      <c r="D523">
        <v>0</v>
      </c>
      <c r="E523">
        <v>1</v>
      </c>
      <c r="F523">
        <v>0</v>
      </c>
      <c r="G523">
        <v>0</v>
      </c>
      <c r="H523" t="s">
        <v>129</v>
      </c>
    </row>
    <row r="524" spans="1:8" ht="20.100000000000001" hidden="1" customHeight="1" x14ac:dyDescent="0.15">
      <c r="A524">
        <v>15522</v>
      </c>
      <c r="B524" t="s">
        <v>1050</v>
      </c>
      <c r="C524" t="s">
        <v>217</v>
      </c>
      <c r="D524">
        <v>0</v>
      </c>
      <c r="E524">
        <v>1</v>
      </c>
      <c r="F524">
        <v>0</v>
      </c>
      <c r="G524">
        <v>0</v>
      </c>
      <c r="H524" t="s">
        <v>129</v>
      </c>
    </row>
    <row r="525" spans="1:8" ht="20.100000000000001" hidden="1" customHeight="1" x14ac:dyDescent="0.15">
      <c r="A525">
        <v>15523</v>
      </c>
      <c r="B525" t="s">
        <v>1051</v>
      </c>
      <c r="C525" t="s">
        <v>217</v>
      </c>
      <c r="D525">
        <v>0</v>
      </c>
      <c r="E525">
        <v>1</v>
      </c>
      <c r="F525">
        <v>0</v>
      </c>
      <c r="G525">
        <v>0</v>
      </c>
      <c r="H525" t="s">
        <v>129</v>
      </c>
    </row>
    <row r="526" spans="1:8" ht="20.100000000000001" hidden="1" customHeight="1" x14ac:dyDescent="0.15">
      <c r="A526">
        <v>15524</v>
      </c>
      <c r="B526" t="s">
        <v>1052</v>
      </c>
      <c r="C526" t="s">
        <v>217</v>
      </c>
      <c r="D526">
        <v>0</v>
      </c>
      <c r="E526">
        <v>1</v>
      </c>
      <c r="F526">
        <v>0</v>
      </c>
      <c r="G526">
        <v>0</v>
      </c>
      <c r="H526" t="s">
        <v>129</v>
      </c>
    </row>
    <row r="527" spans="1:8" ht="20.100000000000001" hidden="1" customHeight="1" x14ac:dyDescent="0.15">
      <c r="A527">
        <v>15525</v>
      </c>
      <c r="B527" t="s">
        <v>1053</v>
      </c>
      <c r="C527" t="s">
        <v>217</v>
      </c>
      <c r="D527">
        <v>0</v>
      </c>
      <c r="E527">
        <v>1</v>
      </c>
      <c r="F527">
        <v>0</v>
      </c>
      <c r="G527">
        <v>0</v>
      </c>
      <c r="H527" t="s">
        <v>129</v>
      </c>
    </row>
    <row r="528" spans="1:8" ht="20.100000000000001" hidden="1" customHeight="1" x14ac:dyDescent="0.15">
      <c r="A528">
        <v>15526</v>
      </c>
      <c r="B528" t="s">
        <v>1054</v>
      </c>
      <c r="C528" t="s">
        <v>217</v>
      </c>
      <c r="D528">
        <v>0</v>
      </c>
      <c r="E528">
        <v>1</v>
      </c>
      <c r="F528">
        <v>0</v>
      </c>
      <c r="G528">
        <v>0</v>
      </c>
      <c r="H528" t="s">
        <v>129</v>
      </c>
    </row>
    <row r="529" spans="1:8" ht="20.100000000000001" hidden="1" customHeight="1" x14ac:dyDescent="0.15">
      <c r="A529">
        <v>15527</v>
      </c>
      <c r="B529" t="s">
        <v>1055</v>
      </c>
      <c r="C529" t="s">
        <v>217</v>
      </c>
      <c r="D529">
        <v>0</v>
      </c>
      <c r="E529">
        <v>1</v>
      </c>
      <c r="F529">
        <v>0</v>
      </c>
      <c r="G529">
        <v>0</v>
      </c>
      <c r="H529" t="s">
        <v>129</v>
      </c>
    </row>
    <row r="530" spans="1:8" ht="20.100000000000001" hidden="1" customHeight="1" x14ac:dyDescent="0.15">
      <c r="A530">
        <v>15528</v>
      </c>
      <c r="B530" t="s">
        <v>1056</v>
      </c>
      <c r="C530" t="s">
        <v>217</v>
      </c>
      <c r="D530">
        <v>0</v>
      </c>
      <c r="E530">
        <v>1</v>
      </c>
      <c r="F530">
        <v>0</v>
      </c>
      <c r="G530">
        <v>0</v>
      </c>
      <c r="H530" t="s">
        <v>129</v>
      </c>
    </row>
    <row r="531" spans="1:8" ht="20.100000000000001" hidden="1" customHeight="1" x14ac:dyDescent="0.15">
      <c r="A531">
        <v>15529</v>
      </c>
      <c r="B531" t="s">
        <v>1057</v>
      </c>
      <c r="C531" t="s">
        <v>217</v>
      </c>
      <c r="D531">
        <v>0</v>
      </c>
      <c r="E531">
        <v>1</v>
      </c>
      <c r="F531">
        <v>0</v>
      </c>
      <c r="G531">
        <v>0</v>
      </c>
      <c r="H531" t="s">
        <v>129</v>
      </c>
    </row>
    <row r="532" spans="1:8" ht="20.100000000000001" hidden="1" customHeight="1" x14ac:dyDescent="0.15">
      <c r="A532">
        <v>15530</v>
      </c>
      <c r="B532" t="s">
        <v>1058</v>
      </c>
      <c r="C532" t="s">
        <v>217</v>
      </c>
      <c r="D532">
        <v>0</v>
      </c>
      <c r="E532">
        <v>1</v>
      </c>
      <c r="F532">
        <v>0</v>
      </c>
      <c r="G532">
        <v>0</v>
      </c>
      <c r="H532" t="s">
        <v>129</v>
      </c>
    </row>
    <row r="533" spans="1:8" ht="20.100000000000001" hidden="1" customHeight="1" x14ac:dyDescent="0.15">
      <c r="A533">
        <v>15531</v>
      </c>
      <c r="B533" t="s">
        <v>1059</v>
      </c>
      <c r="C533" t="s">
        <v>217</v>
      </c>
      <c r="D533">
        <v>0</v>
      </c>
      <c r="E533">
        <v>1</v>
      </c>
      <c r="F533">
        <v>0</v>
      </c>
      <c r="G533">
        <v>0</v>
      </c>
      <c r="H533" t="s">
        <v>129</v>
      </c>
    </row>
    <row r="534" spans="1:8" ht="20.100000000000001" hidden="1" customHeight="1" x14ac:dyDescent="0.15">
      <c r="A534">
        <v>15532</v>
      </c>
      <c r="B534" t="s">
        <v>1060</v>
      </c>
      <c r="C534" t="s">
        <v>217</v>
      </c>
      <c r="D534">
        <v>0</v>
      </c>
      <c r="E534">
        <v>1</v>
      </c>
      <c r="F534">
        <v>0</v>
      </c>
      <c r="G534">
        <v>0</v>
      </c>
      <c r="H534" t="s">
        <v>129</v>
      </c>
    </row>
    <row r="535" spans="1:8" ht="20.100000000000001" hidden="1" customHeight="1" x14ac:dyDescent="0.15">
      <c r="A535">
        <v>15533</v>
      </c>
      <c r="B535" t="s">
        <v>1061</v>
      </c>
      <c r="C535" t="s">
        <v>217</v>
      </c>
      <c r="D535">
        <v>0</v>
      </c>
      <c r="E535">
        <v>1</v>
      </c>
      <c r="F535">
        <v>0</v>
      </c>
      <c r="G535">
        <v>0</v>
      </c>
      <c r="H535" t="s">
        <v>129</v>
      </c>
    </row>
    <row r="536" spans="1:8" ht="20.100000000000001" hidden="1" customHeight="1" x14ac:dyDescent="0.15">
      <c r="A536">
        <v>15534</v>
      </c>
      <c r="B536" t="s">
        <v>1062</v>
      </c>
      <c r="C536" t="s">
        <v>217</v>
      </c>
      <c r="D536">
        <v>0</v>
      </c>
      <c r="E536">
        <v>1</v>
      </c>
      <c r="F536">
        <v>0</v>
      </c>
      <c r="G536">
        <v>0</v>
      </c>
      <c r="H536" t="s">
        <v>129</v>
      </c>
    </row>
    <row r="537" spans="1:8" ht="20.100000000000001" hidden="1" customHeight="1" x14ac:dyDescent="0.15">
      <c r="A537">
        <v>15535</v>
      </c>
      <c r="B537" t="s">
        <v>1063</v>
      </c>
      <c r="C537" t="s">
        <v>217</v>
      </c>
      <c r="D537">
        <v>0</v>
      </c>
      <c r="E537">
        <v>1</v>
      </c>
      <c r="F537">
        <v>0</v>
      </c>
      <c r="G537">
        <v>0</v>
      </c>
      <c r="H537" t="s">
        <v>129</v>
      </c>
    </row>
    <row r="538" spans="1:8" ht="20.100000000000001" hidden="1" customHeight="1" x14ac:dyDescent="0.15">
      <c r="A538">
        <v>15536</v>
      </c>
      <c r="B538" t="s">
        <v>1064</v>
      </c>
      <c r="C538" t="s">
        <v>217</v>
      </c>
      <c r="D538">
        <v>0</v>
      </c>
      <c r="E538">
        <v>1</v>
      </c>
      <c r="F538">
        <v>0</v>
      </c>
      <c r="G538">
        <v>0</v>
      </c>
      <c r="H538" t="s">
        <v>129</v>
      </c>
    </row>
    <row r="539" spans="1:8" ht="20.100000000000001" hidden="1" customHeight="1" x14ac:dyDescent="0.15">
      <c r="A539">
        <v>15537</v>
      </c>
      <c r="B539" t="s">
        <v>1065</v>
      </c>
      <c r="C539" t="s">
        <v>217</v>
      </c>
      <c r="D539">
        <v>0</v>
      </c>
      <c r="E539">
        <v>1</v>
      </c>
      <c r="F539">
        <v>0</v>
      </c>
      <c r="G539">
        <v>0</v>
      </c>
      <c r="H539" t="s">
        <v>129</v>
      </c>
    </row>
    <row r="540" spans="1:8" ht="20.100000000000001" hidden="1" customHeight="1" x14ac:dyDescent="0.15">
      <c r="A540">
        <v>15538</v>
      </c>
      <c r="B540" t="s">
        <v>1066</v>
      </c>
      <c r="C540" t="s">
        <v>217</v>
      </c>
      <c r="D540">
        <v>0</v>
      </c>
      <c r="E540">
        <v>1</v>
      </c>
      <c r="F540">
        <v>0</v>
      </c>
      <c r="G540">
        <v>0</v>
      </c>
      <c r="H540" t="s">
        <v>129</v>
      </c>
    </row>
    <row r="541" spans="1:8" ht="20.100000000000001" hidden="1" customHeight="1" x14ac:dyDescent="0.15">
      <c r="A541">
        <v>15539</v>
      </c>
      <c r="B541" t="s">
        <v>1067</v>
      </c>
      <c r="C541" t="s">
        <v>217</v>
      </c>
      <c r="D541">
        <v>0</v>
      </c>
      <c r="E541">
        <v>1</v>
      </c>
      <c r="F541">
        <v>0</v>
      </c>
      <c r="G541">
        <v>0</v>
      </c>
      <c r="H541" t="s">
        <v>129</v>
      </c>
    </row>
    <row r="542" spans="1:8" ht="20.100000000000001" hidden="1" customHeight="1" x14ac:dyDescent="0.15">
      <c r="A542">
        <v>15540</v>
      </c>
      <c r="B542" t="s">
        <v>1068</v>
      </c>
      <c r="C542" t="s">
        <v>217</v>
      </c>
      <c r="D542">
        <v>0</v>
      </c>
      <c r="E542">
        <v>1</v>
      </c>
      <c r="F542">
        <v>0</v>
      </c>
      <c r="G542">
        <v>0</v>
      </c>
      <c r="H542" t="s">
        <v>129</v>
      </c>
    </row>
    <row r="543" spans="1:8" ht="20.100000000000001" hidden="1" customHeight="1" x14ac:dyDescent="0.15">
      <c r="A543">
        <v>15541</v>
      </c>
      <c r="B543" t="s">
        <v>1069</v>
      </c>
      <c r="C543" t="s">
        <v>217</v>
      </c>
      <c r="D543">
        <v>0</v>
      </c>
      <c r="E543">
        <v>1</v>
      </c>
      <c r="F543">
        <v>0</v>
      </c>
      <c r="G543">
        <v>0</v>
      </c>
      <c r="H543" t="s">
        <v>129</v>
      </c>
    </row>
    <row r="544" spans="1:8" ht="20.100000000000001" hidden="1" customHeight="1" x14ac:dyDescent="0.15">
      <c r="A544">
        <v>15542</v>
      </c>
      <c r="B544" t="s">
        <v>1070</v>
      </c>
      <c r="C544" t="s">
        <v>217</v>
      </c>
      <c r="D544">
        <v>0</v>
      </c>
      <c r="E544">
        <v>1</v>
      </c>
      <c r="F544">
        <v>0</v>
      </c>
      <c r="G544">
        <v>0</v>
      </c>
      <c r="H544" t="s">
        <v>129</v>
      </c>
    </row>
    <row r="545" spans="1:8" ht="20.100000000000001" hidden="1" customHeight="1" x14ac:dyDescent="0.15">
      <c r="A545">
        <v>15543</v>
      </c>
      <c r="B545" t="s">
        <v>1071</v>
      </c>
      <c r="C545" t="s">
        <v>217</v>
      </c>
      <c r="D545">
        <v>0</v>
      </c>
      <c r="E545">
        <v>1</v>
      </c>
      <c r="F545">
        <v>0</v>
      </c>
      <c r="G545">
        <v>0</v>
      </c>
      <c r="H545" t="s">
        <v>129</v>
      </c>
    </row>
    <row r="546" spans="1:8" ht="20.100000000000001" hidden="1" customHeight="1" x14ac:dyDescent="0.15">
      <c r="A546">
        <v>15544</v>
      </c>
      <c r="B546" t="s">
        <v>1072</v>
      </c>
      <c r="C546" t="s">
        <v>217</v>
      </c>
      <c r="D546">
        <v>0</v>
      </c>
      <c r="E546">
        <v>1</v>
      </c>
      <c r="F546">
        <v>0</v>
      </c>
      <c r="G546">
        <v>0</v>
      </c>
      <c r="H546" t="s">
        <v>129</v>
      </c>
    </row>
    <row r="547" spans="1:8" ht="20.100000000000001" hidden="1" customHeight="1" x14ac:dyDescent="0.15">
      <c r="A547">
        <v>15545</v>
      </c>
      <c r="B547" t="s">
        <v>1073</v>
      </c>
      <c r="C547" t="s">
        <v>217</v>
      </c>
      <c r="D547">
        <v>0</v>
      </c>
      <c r="E547">
        <v>1</v>
      </c>
      <c r="F547">
        <v>0</v>
      </c>
      <c r="G547">
        <v>0</v>
      </c>
      <c r="H547" t="s">
        <v>129</v>
      </c>
    </row>
    <row r="548" spans="1:8" ht="20.100000000000001" hidden="1" customHeight="1" x14ac:dyDescent="0.15">
      <c r="A548">
        <v>15546</v>
      </c>
      <c r="B548" t="s">
        <v>1074</v>
      </c>
      <c r="C548" t="s">
        <v>217</v>
      </c>
      <c r="D548">
        <v>0</v>
      </c>
      <c r="E548">
        <v>1</v>
      </c>
      <c r="F548">
        <v>0</v>
      </c>
      <c r="G548">
        <v>0</v>
      </c>
      <c r="H548" t="s">
        <v>129</v>
      </c>
    </row>
    <row r="549" spans="1:8" ht="20.100000000000001" hidden="1" customHeight="1" x14ac:dyDescent="0.15">
      <c r="A549">
        <v>15547</v>
      </c>
      <c r="B549" t="s">
        <v>1075</v>
      </c>
      <c r="C549" t="s">
        <v>217</v>
      </c>
      <c r="D549">
        <v>0</v>
      </c>
      <c r="E549">
        <v>1</v>
      </c>
      <c r="F549">
        <v>0</v>
      </c>
      <c r="G549">
        <v>0</v>
      </c>
      <c r="H549" t="s">
        <v>129</v>
      </c>
    </row>
    <row r="550" spans="1:8" ht="20.100000000000001" hidden="1" customHeight="1" x14ac:dyDescent="0.15">
      <c r="A550">
        <v>15548</v>
      </c>
      <c r="B550" t="s">
        <v>1076</v>
      </c>
      <c r="C550" t="s">
        <v>217</v>
      </c>
      <c r="D550">
        <v>0</v>
      </c>
      <c r="E550">
        <v>1</v>
      </c>
      <c r="F550">
        <v>0</v>
      </c>
      <c r="G550">
        <v>0</v>
      </c>
      <c r="H550" t="s">
        <v>129</v>
      </c>
    </row>
    <row r="551" spans="1:8" ht="20.100000000000001" hidden="1" customHeight="1" x14ac:dyDescent="0.15">
      <c r="A551">
        <v>15549</v>
      </c>
      <c r="B551" t="s">
        <v>1077</v>
      </c>
      <c r="C551" t="s">
        <v>217</v>
      </c>
      <c r="D551">
        <v>0</v>
      </c>
      <c r="E551">
        <v>1</v>
      </c>
      <c r="F551">
        <v>0</v>
      </c>
      <c r="G551">
        <v>0</v>
      </c>
      <c r="H551" t="s">
        <v>129</v>
      </c>
    </row>
    <row r="552" spans="1:8" ht="20.100000000000001" hidden="1" customHeight="1" x14ac:dyDescent="0.15">
      <c r="A552">
        <v>15550</v>
      </c>
      <c r="B552" t="s">
        <v>1078</v>
      </c>
      <c r="C552" t="s">
        <v>217</v>
      </c>
      <c r="D552">
        <v>0</v>
      </c>
      <c r="E552">
        <v>1</v>
      </c>
      <c r="F552">
        <v>0</v>
      </c>
      <c r="G552">
        <v>0</v>
      </c>
      <c r="H552" t="s">
        <v>129</v>
      </c>
    </row>
    <row r="553" spans="1:8" ht="20.100000000000001" hidden="1" customHeight="1" x14ac:dyDescent="0.15">
      <c r="A553">
        <v>15551</v>
      </c>
      <c r="B553" t="s">
        <v>1079</v>
      </c>
      <c r="C553" t="s">
        <v>217</v>
      </c>
      <c r="D553">
        <v>0</v>
      </c>
      <c r="E553">
        <v>1</v>
      </c>
      <c r="F553">
        <v>0</v>
      </c>
      <c r="G553">
        <v>0</v>
      </c>
      <c r="H553" t="s">
        <v>129</v>
      </c>
    </row>
    <row r="554" spans="1:8" ht="20.100000000000001" hidden="1" customHeight="1" x14ac:dyDescent="0.15">
      <c r="A554">
        <v>15552</v>
      </c>
      <c r="B554" t="s">
        <v>1080</v>
      </c>
      <c r="C554" t="s">
        <v>217</v>
      </c>
      <c r="D554">
        <v>0</v>
      </c>
      <c r="E554">
        <v>1</v>
      </c>
      <c r="F554">
        <v>0</v>
      </c>
      <c r="G554">
        <v>0</v>
      </c>
      <c r="H554" t="s">
        <v>129</v>
      </c>
    </row>
    <row r="555" spans="1:8" ht="20.100000000000001" hidden="1" customHeight="1" x14ac:dyDescent="0.15">
      <c r="A555">
        <v>15553</v>
      </c>
      <c r="B555" t="s">
        <v>1081</v>
      </c>
      <c r="C555" t="s">
        <v>217</v>
      </c>
      <c r="D555">
        <v>0</v>
      </c>
      <c r="E555">
        <v>1</v>
      </c>
      <c r="F555">
        <v>0</v>
      </c>
      <c r="G555">
        <v>0</v>
      </c>
      <c r="H555" t="s">
        <v>129</v>
      </c>
    </row>
    <row r="556" spans="1:8" ht="20.100000000000001" hidden="1" customHeight="1" x14ac:dyDescent="0.15">
      <c r="A556">
        <v>15554</v>
      </c>
      <c r="B556" t="s">
        <v>1082</v>
      </c>
      <c r="C556" t="s">
        <v>217</v>
      </c>
      <c r="D556">
        <v>0</v>
      </c>
      <c r="E556">
        <v>1</v>
      </c>
      <c r="F556">
        <v>0</v>
      </c>
      <c r="G556">
        <v>0</v>
      </c>
      <c r="H556" t="s">
        <v>129</v>
      </c>
    </row>
    <row r="557" spans="1:8" ht="20.100000000000001" hidden="1" customHeight="1" x14ac:dyDescent="0.15">
      <c r="A557">
        <v>15555</v>
      </c>
      <c r="B557" t="s">
        <v>1083</v>
      </c>
      <c r="C557" t="s">
        <v>217</v>
      </c>
      <c r="D557">
        <v>0</v>
      </c>
      <c r="E557">
        <v>1</v>
      </c>
      <c r="F557">
        <v>0</v>
      </c>
      <c r="G557">
        <v>0</v>
      </c>
      <c r="H557" t="s">
        <v>129</v>
      </c>
    </row>
    <row r="558" spans="1:8" ht="20.100000000000001" hidden="1" customHeight="1" x14ac:dyDescent="0.15">
      <c r="A558">
        <v>15556</v>
      </c>
      <c r="B558" t="s">
        <v>1084</v>
      </c>
      <c r="C558" t="s">
        <v>217</v>
      </c>
      <c r="D558">
        <v>0</v>
      </c>
      <c r="E558">
        <v>1</v>
      </c>
      <c r="F558">
        <v>0</v>
      </c>
      <c r="G558">
        <v>0</v>
      </c>
      <c r="H558" t="s">
        <v>129</v>
      </c>
    </row>
    <row r="559" spans="1:8" ht="20.100000000000001" hidden="1" customHeight="1" x14ac:dyDescent="0.15">
      <c r="A559">
        <v>15557</v>
      </c>
      <c r="B559" t="s">
        <v>1085</v>
      </c>
      <c r="C559" t="s">
        <v>217</v>
      </c>
      <c r="D559">
        <v>0</v>
      </c>
      <c r="E559">
        <v>1</v>
      </c>
      <c r="F559">
        <v>0</v>
      </c>
      <c r="G559">
        <v>0</v>
      </c>
      <c r="H559" t="s">
        <v>129</v>
      </c>
    </row>
    <row r="560" spans="1:8" ht="20.100000000000001" hidden="1" customHeight="1" x14ac:dyDescent="0.15">
      <c r="A560">
        <v>15558</v>
      </c>
      <c r="B560" t="s">
        <v>1086</v>
      </c>
      <c r="C560" t="s">
        <v>217</v>
      </c>
      <c r="D560">
        <v>0</v>
      </c>
      <c r="E560">
        <v>1</v>
      </c>
      <c r="F560">
        <v>0</v>
      </c>
      <c r="G560">
        <v>0</v>
      </c>
      <c r="H560" t="s">
        <v>129</v>
      </c>
    </row>
    <row r="561" spans="1:8" ht="20.100000000000001" hidden="1" customHeight="1" x14ac:dyDescent="0.15">
      <c r="A561">
        <v>15559</v>
      </c>
      <c r="B561" t="s">
        <v>1087</v>
      </c>
      <c r="C561" t="s">
        <v>217</v>
      </c>
      <c r="D561">
        <v>0</v>
      </c>
      <c r="E561">
        <v>1</v>
      </c>
      <c r="F561">
        <v>0</v>
      </c>
      <c r="G561">
        <v>0</v>
      </c>
      <c r="H561" t="s">
        <v>129</v>
      </c>
    </row>
    <row r="562" spans="1:8" ht="20.100000000000001" hidden="1" customHeight="1" x14ac:dyDescent="0.15">
      <c r="A562">
        <v>15560</v>
      </c>
      <c r="B562" t="s">
        <v>1088</v>
      </c>
      <c r="C562" t="s">
        <v>217</v>
      </c>
      <c r="D562">
        <v>0</v>
      </c>
      <c r="E562">
        <v>1</v>
      </c>
      <c r="F562">
        <v>0</v>
      </c>
      <c r="G562">
        <v>0</v>
      </c>
      <c r="H562" t="s">
        <v>129</v>
      </c>
    </row>
    <row r="563" spans="1:8" ht="20.100000000000001" hidden="1" customHeight="1" x14ac:dyDescent="0.15">
      <c r="A563">
        <v>15561</v>
      </c>
      <c r="B563" t="s">
        <v>1089</v>
      </c>
      <c r="C563" t="s">
        <v>217</v>
      </c>
      <c r="D563">
        <v>0</v>
      </c>
      <c r="E563">
        <v>1</v>
      </c>
      <c r="F563">
        <v>0</v>
      </c>
      <c r="G563">
        <v>0</v>
      </c>
      <c r="H563" t="s">
        <v>129</v>
      </c>
    </row>
    <row r="564" spans="1:8" ht="20.100000000000001" hidden="1" customHeight="1" x14ac:dyDescent="0.15">
      <c r="A564">
        <v>15562</v>
      </c>
      <c r="B564" t="s">
        <v>1090</v>
      </c>
      <c r="C564" t="s">
        <v>217</v>
      </c>
      <c r="D564">
        <v>0</v>
      </c>
      <c r="E564">
        <v>1</v>
      </c>
      <c r="F564">
        <v>0</v>
      </c>
      <c r="G564">
        <v>0</v>
      </c>
      <c r="H564" t="s">
        <v>129</v>
      </c>
    </row>
    <row r="565" spans="1:8" ht="20.100000000000001" hidden="1" customHeight="1" x14ac:dyDescent="0.15">
      <c r="A565">
        <v>15563</v>
      </c>
      <c r="B565" t="s">
        <v>1091</v>
      </c>
      <c r="C565" t="s">
        <v>217</v>
      </c>
      <c r="D565">
        <v>0</v>
      </c>
      <c r="E565">
        <v>1</v>
      </c>
      <c r="F565">
        <v>0</v>
      </c>
      <c r="G565">
        <v>0</v>
      </c>
      <c r="H565" t="s">
        <v>129</v>
      </c>
    </row>
    <row r="566" spans="1:8" ht="20.100000000000001" hidden="1" customHeight="1" x14ac:dyDescent="0.15">
      <c r="A566">
        <v>15564</v>
      </c>
      <c r="B566" t="s">
        <v>1092</v>
      </c>
      <c r="C566" t="s">
        <v>217</v>
      </c>
      <c r="D566">
        <v>0</v>
      </c>
      <c r="E566">
        <v>1</v>
      </c>
      <c r="F566">
        <v>0</v>
      </c>
      <c r="G566">
        <v>0</v>
      </c>
      <c r="H566" t="s">
        <v>129</v>
      </c>
    </row>
    <row r="567" spans="1:8" ht="20.100000000000001" hidden="1" customHeight="1" x14ac:dyDescent="0.15">
      <c r="A567">
        <v>15565</v>
      </c>
      <c r="B567" t="s">
        <v>1093</v>
      </c>
      <c r="C567" t="s">
        <v>217</v>
      </c>
      <c r="D567">
        <v>0</v>
      </c>
      <c r="E567">
        <v>1</v>
      </c>
      <c r="F567">
        <v>0</v>
      </c>
      <c r="G567">
        <v>0</v>
      </c>
      <c r="H567" t="s">
        <v>129</v>
      </c>
    </row>
    <row r="568" spans="1:8" ht="20.100000000000001" hidden="1" customHeight="1" x14ac:dyDescent="0.15">
      <c r="A568">
        <v>15566</v>
      </c>
      <c r="B568" t="s">
        <v>1094</v>
      </c>
      <c r="C568" t="s">
        <v>217</v>
      </c>
      <c r="D568">
        <v>0</v>
      </c>
      <c r="E568">
        <v>1</v>
      </c>
      <c r="F568">
        <v>0</v>
      </c>
      <c r="G568">
        <v>0</v>
      </c>
      <c r="H568" t="s">
        <v>129</v>
      </c>
    </row>
    <row r="569" spans="1:8" ht="20.100000000000001" hidden="1" customHeight="1" x14ac:dyDescent="0.15">
      <c r="A569">
        <v>15567</v>
      </c>
      <c r="B569" t="s">
        <v>1095</v>
      </c>
      <c r="C569" t="s">
        <v>217</v>
      </c>
      <c r="D569">
        <v>0</v>
      </c>
      <c r="E569">
        <v>1</v>
      </c>
      <c r="F569">
        <v>0</v>
      </c>
      <c r="G569">
        <v>0</v>
      </c>
      <c r="H569" t="s">
        <v>129</v>
      </c>
    </row>
    <row r="570" spans="1:8" ht="20.100000000000001" hidden="1" customHeight="1" x14ac:dyDescent="0.15">
      <c r="A570">
        <v>15568</v>
      </c>
      <c r="B570" t="s">
        <v>1096</v>
      </c>
      <c r="C570" t="s">
        <v>217</v>
      </c>
      <c r="D570">
        <v>0</v>
      </c>
      <c r="E570">
        <v>1</v>
      </c>
      <c r="F570">
        <v>0</v>
      </c>
      <c r="G570">
        <v>0</v>
      </c>
      <c r="H570" t="s">
        <v>129</v>
      </c>
    </row>
    <row r="571" spans="1:8" ht="20.100000000000001" hidden="1" customHeight="1" x14ac:dyDescent="0.15">
      <c r="A571">
        <v>15569</v>
      </c>
      <c r="B571" t="s">
        <v>1097</v>
      </c>
      <c r="C571" t="s">
        <v>217</v>
      </c>
      <c r="D571">
        <v>0</v>
      </c>
      <c r="E571">
        <v>1</v>
      </c>
      <c r="F571">
        <v>0</v>
      </c>
      <c r="G571">
        <v>0</v>
      </c>
      <c r="H571" t="s">
        <v>129</v>
      </c>
    </row>
    <row r="572" spans="1:8" ht="20.100000000000001" hidden="1" customHeight="1" x14ac:dyDescent="0.15">
      <c r="A572">
        <v>15570</v>
      </c>
      <c r="B572" t="s">
        <v>1098</v>
      </c>
      <c r="C572" t="s">
        <v>217</v>
      </c>
      <c r="D572">
        <v>0</v>
      </c>
      <c r="E572">
        <v>1</v>
      </c>
      <c r="F572">
        <v>0</v>
      </c>
      <c r="G572">
        <v>0</v>
      </c>
      <c r="H572" t="s">
        <v>129</v>
      </c>
    </row>
    <row r="573" spans="1:8" ht="20.100000000000001" hidden="1" customHeight="1" x14ac:dyDescent="0.15">
      <c r="A573">
        <v>15571</v>
      </c>
      <c r="B573" t="s">
        <v>1099</v>
      </c>
      <c r="C573" t="s">
        <v>217</v>
      </c>
      <c r="D573">
        <v>0</v>
      </c>
      <c r="E573">
        <v>1</v>
      </c>
      <c r="F573">
        <v>0</v>
      </c>
      <c r="G573">
        <v>0</v>
      </c>
      <c r="H573" t="s">
        <v>129</v>
      </c>
    </row>
    <row r="574" spans="1:8" ht="20.100000000000001" hidden="1" customHeight="1" x14ac:dyDescent="0.15">
      <c r="A574">
        <v>15572</v>
      </c>
      <c r="B574" t="s">
        <v>1100</v>
      </c>
      <c r="C574" t="s">
        <v>217</v>
      </c>
      <c r="D574">
        <v>0</v>
      </c>
      <c r="E574">
        <v>1</v>
      </c>
      <c r="F574">
        <v>0</v>
      </c>
      <c r="G574">
        <v>0</v>
      </c>
      <c r="H574" t="s">
        <v>129</v>
      </c>
    </row>
    <row r="575" spans="1:8" ht="20.100000000000001" hidden="1" customHeight="1" x14ac:dyDescent="0.15">
      <c r="A575">
        <v>15573</v>
      </c>
      <c r="B575" t="s">
        <v>1101</v>
      </c>
      <c r="C575" t="s">
        <v>217</v>
      </c>
      <c r="D575">
        <v>0</v>
      </c>
      <c r="E575">
        <v>1</v>
      </c>
      <c r="F575">
        <v>0</v>
      </c>
      <c r="G575">
        <v>0</v>
      </c>
      <c r="H575" t="s">
        <v>129</v>
      </c>
    </row>
    <row r="576" spans="1:8" ht="20.100000000000001" hidden="1" customHeight="1" x14ac:dyDescent="0.15">
      <c r="A576">
        <v>15574</v>
      </c>
      <c r="B576" t="s">
        <v>1102</v>
      </c>
      <c r="C576" t="s">
        <v>217</v>
      </c>
      <c r="D576">
        <v>0</v>
      </c>
      <c r="E576">
        <v>1</v>
      </c>
      <c r="F576">
        <v>0</v>
      </c>
      <c r="G576">
        <v>0</v>
      </c>
      <c r="H576" t="s">
        <v>129</v>
      </c>
    </row>
    <row r="577" spans="1:8" ht="20.100000000000001" hidden="1" customHeight="1" x14ac:dyDescent="0.15">
      <c r="A577">
        <v>15575</v>
      </c>
      <c r="B577" t="s">
        <v>1103</v>
      </c>
      <c r="C577" t="s">
        <v>217</v>
      </c>
      <c r="D577">
        <v>0</v>
      </c>
      <c r="E577">
        <v>1</v>
      </c>
      <c r="F577">
        <v>0</v>
      </c>
      <c r="G577">
        <v>0</v>
      </c>
      <c r="H577" t="s">
        <v>129</v>
      </c>
    </row>
    <row r="578" spans="1:8" ht="20.100000000000001" hidden="1" customHeight="1" x14ac:dyDescent="0.15">
      <c r="A578">
        <v>15576</v>
      </c>
      <c r="B578" t="s">
        <v>1104</v>
      </c>
      <c r="C578" t="s">
        <v>217</v>
      </c>
      <c r="D578">
        <v>0</v>
      </c>
      <c r="E578">
        <v>1</v>
      </c>
      <c r="F578">
        <v>0</v>
      </c>
      <c r="G578">
        <v>0</v>
      </c>
      <c r="H578" t="s">
        <v>129</v>
      </c>
    </row>
    <row r="579" spans="1:8" ht="20.100000000000001" hidden="1" customHeight="1" x14ac:dyDescent="0.15">
      <c r="A579">
        <v>15577</v>
      </c>
      <c r="B579" t="s">
        <v>1105</v>
      </c>
      <c r="C579" t="s">
        <v>217</v>
      </c>
      <c r="D579">
        <v>0</v>
      </c>
      <c r="E579">
        <v>1</v>
      </c>
      <c r="F579">
        <v>0</v>
      </c>
      <c r="G579">
        <v>0</v>
      </c>
      <c r="H579" t="s">
        <v>129</v>
      </c>
    </row>
    <row r="580" spans="1:8" ht="20.100000000000001" hidden="1" customHeight="1" x14ac:dyDescent="0.15">
      <c r="A580">
        <v>15578</v>
      </c>
      <c r="B580" t="s">
        <v>1106</v>
      </c>
      <c r="C580" t="s">
        <v>217</v>
      </c>
      <c r="D580">
        <v>0</v>
      </c>
      <c r="E580">
        <v>1</v>
      </c>
      <c r="F580">
        <v>0</v>
      </c>
      <c r="G580">
        <v>0</v>
      </c>
      <c r="H580" t="s">
        <v>129</v>
      </c>
    </row>
    <row r="581" spans="1:8" ht="20.100000000000001" hidden="1" customHeight="1" x14ac:dyDescent="0.15">
      <c r="A581">
        <v>15579</v>
      </c>
      <c r="B581" t="s">
        <v>1107</v>
      </c>
      <c r="C581" t="s">
        <v>217</v>
      </c>
      <c r="D581">
        <v>0</v>
      </c>
      <c r="E581">
        <v>1</v>
      </c>
      <c r="F581">
        <v>0</v>
      </c>
      <c r="G581">
        <v>0</v>
      </c>
      <c r="H581" t="s">
        <v>129</v>
      </c>
    </row>
    <row r="582" spans="1:8" ht="20.100000000000001" hidden="1" customHeight="1" x14ac:dyDescent="0.15">
      <c r="A582">
        <v>15580</v>
      </c>
      <c r="B582" t="s">
        <v>1108</v>
      </c>
      <c r="C582" t="s">
        <v>217</v>
      </c>
      <c r="D582">
        <v>0</v>
      </c>
      <c r="E582">
        <v>1</v>
      </c>
      <c r="F582">
        <v>0</v>
      </c>
      <c r="G582">
        <v>0</v>
      </c>
      <c r="H582" t="s">
        <v>129</v>
      </c>
    </row>
    <row r="583" spans="1:8" ht="20.100000000000001" hidden="1" customHeight="1" x14ac:dyDescent="0.15">
      <c r="A583">
        <v>15581</v>
      </c>
      <c r="B583" t="s">
        <v>1109</v>
      </c>
      <c r="C583" t="s">
        <v>217</v>
      </c>
      <c r="D583">
        <v>0</v>
      </c>
      <c r="E583">
        <v>1</v>
      </c>
      <c r="F583">
        <v>0</v>
      </c>
      <c r="G583">
        <v>0</v>
      </c>
      <c r="H583" t="s">
        <v>129</v>
      </c>
    </row>
    <row r="584" spans="1:8" ht="20.100000000000001" hidden="1" customHeight="1" x14ac:dyDescent="0.15">
      <c r="A584">
        <v>15582</v>
      </c>
      <c r="B584" t="s">
        <v>1110</v>
      </c>
      <c r="C584" t="s">
        <v>217</v>
      </c>
      <c r="D584">
        <v>0</v>
      </c>
      <c r="E584">
        <v>1</v>
      </c>
      <c r="F584">
        <v>0</v>
      </c>
      <c r="G584">
        <v>0</v>
      </c>
      <c r="H584" t="s">
        <v>129</v>
      </c>
    </row>
    <row r="585" spans="1:8" ht="20.100000000000001" hidden="1" customHeight="1" x14ac:dyDescent="0.15">
      <c r="A585">
        <v>15583</v>
      </c>
      <c r="B585" t="s">
        <v>1111</v>
      </c>
      <c r="C585" t="s">
        <v>217</v>
      </c>
      <c r="D585">
        <v>0</v>
      </c>
      <c r="E585">
        <v>1</v>
      </c>
      <c r="F585">
        <v>0</v>
      </c>
      <c r="G585">
        <v>0</v>
      </c>
      <c r="H585" t="s">
        <v>129</v>
      </c>
    </row>
    <row r="586" spans="1:8" ht="20.100000000000001" hidden="1" customHeight="1" x14ac:dyDescent="0.15">
      <c r="A586">
        <v>15584</v>
      </c>
      <c r="B586" t="s">
        <v>1112</v>
      </c>
      <c r="C586" t="s">
        <v>217</v>
      </c>
      <c r="D586">
        <v>0</v>
      </c>
      <c r="E586">
        <v>1</v>
      </c>
      <c r="F586">
        <v>0</v>
      </c>
      <c r="G586">
        <v>0</v>
      </c>
      <c r="H586" t="s">
        <v>129</v>
      </c>
    </row>
    <row r="587" spans="1:8" ht="20.100000000000001" hidden="1" customHeight="1" x14ac:dyDescent="0.15">
      <c r="A587">
        <v>15585</v>
      </c>
      <c r="B587" t="s">
        <v>1113</v>
      </c>
      <c r="C587" t="s">
        <v>217</v>
      </c>
      <c r="D587">
        <v>0</v>
      </c>
      <c r="E587">
        <v>1</v>
      </c>
      <c r="F587">
        <v>0</v>
      </c>
      <c r="G587">
        <v>0</v>
      </c>
      <c r="H587" t="s">
        <v>129</v>
      </c>
    </row>
    <row r="588" spans="1:8" ht="20.100000000000001" hidden="1" customHeight="1" x14ac:dyDescent="0.15">
      <c r="A588">
        <v>15586</v>
      </c>
      <c r="B588" t="s">
        <v>1114</v>
      </c>
      <c r="C588" t="s">
        <v>217</v>
      </c>
      <c r="D588">
        <v>0</v>
      </c>
      <c r="E588">
        <v>1</v>
      </c>
      <c r="F588">
        <v>0</v>
      </c>
      <c r="G588">
        <v>0</v>
      </c>
      <c r="H588" t="s">
        <v>129</v>
      </c>
    </row>
    <row r="589" spans="1:8" ht="20.100000000000001" hidden="1" customHeight="1" x14ac:dyDescent="0.15">
      <c r="A589">
        <v>15587</v>
      </c>
      <c r="B589" t="s">
        <v>1115</v>
      </c>
      <c r="C589" t="s">
        <v>217</v>
      </c>
      <c r="D589">
        <v>0</v>
      </c>
      <c r="E589">
        <v>1</v>
      </c>
      <c r="F589">
        <v>0</v>
      </c>
      <c r="G589">
        <v>0</v>
      </c>
      <c r="H589" t="s">
        <v>129</v>
      </c>
    </row>
    <row r="590" spans="1:8" ht="20.100000000000001" hidden="1" customHeight="1" x14ac:dyDescent="0.15">
      <c r="A590">
        <v>15588</v>
      </c>
      <c r="B590" t="s">
        <v>1116</v>
      </c>
      <c r="C590" t="s">
        <v>217</v>
      </c>
      <c r="D590">
        <v>0</v>
      </c>
      <c r="E590">
        <v>1</v>
      </c>
      <c r="F590">
        <v>0</v>
      </c>
      <c r="G590">
        <v>0</v>
      </c>
      <c r="H590" t="s">
        <v>129</v>
      </c>
    </row>
    <row r="591" spans="1:8" ht="20.100000000000001" hidden="1" customHeight="1" x14ac:dyDescent="0.15">
      <c r="A591">
        <v>15589</v>
      </c>
      <c r="B591" t="s">
        <v>1117</v>
      </c>
      <c r="C591" t="s">
        <v>217</v>
      </c>
      <c r="D591">
        <v>0</v>
      </c>
      <c r="E591">
        <v>1</v>
      </c>
      <c r="F591">
        <v>0</v>
      </c>
      <c r="G591">
        <v>0</v>
      </c>
      <c r="H591" t="s">
        <v>129</v>
      </c>
    </row>
    <row r="592" spans="1:8" ht="20.100000000000001" hidden="1" customHeight="1" x14ac:dyDescent="0.15">
      <c r="A592">
        <v>15590</v>
      </c>
      <c r="B592" t="s">
        <v>1118</v>
      </c>
      <c r="C592" t="s">
        <v>217</v>
      </c>
      <c r="D592">
        <v>0</v>
      </c>
      <c r="E592">
        <v>1</v>
      </c>
      <c r="F592">
        <v>0</v>
      </c>
      <c r="G592">
        <v>0</v>
      </c>
      <c r="H592" t="s">
        <v>129</v>
      </c>
    </row>
    <row r="593" spans="1:8" ht="20.100000000000001" hidden="1" customHeight="1" x14ac:dyDescent="0.15">
      <c r="A593">
        <v>15591</v>
      </c>
      <c r="B593" t="s">
        <v>1119</v>
      </c>
      <c r="C593" t="s">
        <v>217</v>
      </c>
      <c r="D593">
        <v>0</v>
      </c>
      <c r="E593">
        <v>1</v>
      </c>
      <c r="F593">
        <v>0</v>
      </c>
      <c r="G593">
        <v>0</v>
      </c>
      <c r="H593" t="s">
        <v>129</v>
      </c>
    </row>
    <row r="594" spans="1:8" ht="20.100000000000001" hidden="1" customHeight="1" x14ac:dyDescent="0.15">
      <c r="A594">
        <v>15592</v>
      </c>
      <c r="B594" t="s">
        <v>1120</v>
      </c>
      <c r="C594" t="s">
        <v>217</v>
      </c>
      <c r="D594">
        <v>0</v>
      </c>
      <c r="E594">
        <v>1</v>
      </c>
      <c r="F594">
        <v>0</v>
      </c>
      <c r="G594">
        <v>0</v>
      </c>
      <c r="H594" t="s">
        <v>129</v>
      </c>
    </row>
    <row r="595" spans="1:8" ht="20.100000000000001" hidden="1" customHeight="1" x14ac:dyDescent="0.15">
      <c r="A595">
        <v>15593</v>
      </c>
      <c r="B595" t="s">
        <v>1121</v>
      </c>
      <c r="C595" t="s">
        <v>217</v>
      </c>
      <c r="D595">
        <v>0</v>
      </c>
      <c r="E595">
        <v>1</v>
      </c>
      <c r="F595">
        <v>0</v>
      </c>
      <c r="G595">
        <v>0</v>
      </c>
      <c r="H595" t="s">
        <v>129</v>
      </c>
    </row>
    <row r="596" spans="1:8" ht="20.100000000000001" hidden="1" customHeight="1" x14ac:dyDescent="0.15">
      <c r="A596">
        <v>15594</v>
      </c>
      <c r="B596" t="s">
        <v>1122</v>
      </c>
      <c r="C596" t="s">
        <v>217</v>
      </c>
      <c r="D596">
        <v>0</v>
      </c>
      <c r="E596">
        <v>1</v>
      </c>
      <c r="F596">
        <v>0</v>
      </c>
      <c r="G596">
        <v>0</v>
      </c>
      <c r="H596" t="s">
        <v>129</v>
      </c>
    </row>
    <row r="597" spans="1:8" ht="20.100000000000001" hidden="1" customHeight="1" x14ac:dyDescent="0.15">
      <c r="A597">
        <v>15595</v>
      </c>
      <c r="B597" t="s">
        <v>1123</v>
      </c>
      <c r="C597" t="s">
        <v>217</v>
      </c>
      <c r="D597">
        <v>0</v>
      </c>
      <c r="E597">
        <v>1</v>
      </c>
      <c r="F597">
        <v>0</v>
      </c>
      <c r="G597">
        <v>0</v>
      </c>
      <c r="H597" t="s">
        <v>129</v>
      </c>
    </row>
    <row r="598" spans="1:8" ht="20.100000000000001" hidden="1" customHeight="1" x14ac:dyDescent="0.15">
      <c r="A598">
        <v>15596</v>
      </c>
      <c r="B598" t="s">
        <v>1124</v>
      </c>
      <c r="C598" t="s">
        <v>217</v>
      </c>
      <c r="D598">
        <v>0</v>
      </c>
      <c r="E598">
        <v>1</v>
      </c>
      <c r="F598">
        <v>0</v>
      </c>
      <c r="G598">
        <v>0</v>
      </c>
      <c r="H598" t="s">
        <v>129</v>
      </c>
    </row>
    <row r="599" spans="1:8" ht="20.100000000000001" hidden="1" customHeight="1" x14ac:dyDescent="0.15">
      <c r="A599">
        <v>15597</v>
      </c>
      <c r="B599" t="s">
        <v>1125</v>
      </c>
      <c r="C599" t="s">
        <v>217</v>
      </c>
      <c r="D599">
        <v>0</v>
      </c>
      <c r="E599">
        <v>1</v>
      </c>
      <c r="F599">
        <v>0</v>
      </c>
      <c r="G599">
        <v>0</v>
      </c>
      <c r="H599" t="s">
        <v>129</v>
      </c>
    </row>
    <row r="600" spans="1:8" ht="20.100000000000001" hidden="1" customHeight="1" x14ac:dyDescent="0.15">
      <c r="A600">
        <v>15598</v>
      </c>
      <c r="B600" t="s">
        <v>1126</v>
      </c>
      <c r="C600" t="s">
        <v>217</v>
      </c>
      <c r="D600">
        <v>0</v>
      </c>
      <c r="E600">
        <v>1</v>
      </c>
      <c r="F600">
        <v>0</v>
      </c>
      <c r="G600">
        <v>0</v>
      </c>
      <c r="H600" t="s">
        <v>129</v>
      </c>
    </row>
    <row r="601" spans="1:8" ht="20.100000000000001" hidden="1" customHeight="1" x14ac:dyDescent="0.15">
      <c r="A601">
        <v>15599</v>
      </c>
      <c r="B601" t="s">
        <v>1127</v>
      </c>
      <c r="C601" t="s">
        <v>217</v>
      </c>
      <c r="D601">
        <v>0</v>
      </c>
      <c r="E601">
        <v>1</v>
      </c>
      <c r="F601">
        <v>0</v>
      </c>
      <c r="G601">
        <v>0</v>
      </c>
      <c r="H601" t="s">
        <v>129</v>
      </c>
    </row>
    <row r="602" spans="1:8" ht="20.100000000000001" hidden="1" customHeight="1" x14ac:dyDescent="0.15">
      <c r="A602">
        <v>15600</v>
      </c>
      <c r="B602" t="s">
        <v>1128</v>
      </c>
      <c r="C602" t="s">
        <v>217</v>
      </c>
      <c r="D602">
        <v>0</v>
      </c>
      <c r="E602">
        <v>1</v>
      </c>
      <c r="F602">
        <v>0</v>
      </c>
      <c r="G602">
        <v>0</v>
      </c>
      <c r="H602" t="s">
        <v>129</v>
      </c>
    </row>
    <row r="603" spans="1:8" ht="20.100000000000001" hidden="1" customHeight="1" x14ac:dyDescent="0.15">
      <c r="A603">
        <v>15601</v>
      </c>
      <c r="B603" t="s">
        <v>1129</v>
      </c>
      <c r="C603" t="s">
        <v>217</v>
      </c>
      <c r="D603">
        <v>0</v>
      </c>
      <c r="E603">
        <v>1</v>
      </c>
      <c r="F603">
        <v>0</v>
      </c>
      <c r="G603">
        <v>0</v>
      </c>
      <c r="H603" t="s">
        <v>129</v>
      </c>
    </row>
    <row r="604" spans="1:8" ht="20.100000000000001" hidden="1" customHeight="1" x14ac:dyDescent="0.15">
      <c r="A604">
        <v>15602</v>
      </c>
      <c r="B604" t="s">
        <v>1130</v>
      </c>
      <c r="C604" t="s">
        <v>217</v>
      </c>
      <c r="D604">
        <v>0</v>
      </c>
      <c r="E604">
        <v>1</v>
      </c>
      <c r="F604">
        <v>0</v>
      </c>
      <c r="G604">
        <v>0</v>
      </c>
      <c r="H604" t="s">
        <v>129</v>
      </c>
    </row>
    <row r="605" spans="1:8" ht="20.100000000000001" hidden="1" customHeight="1" x14ac:dyDescent="0.15">
      <c r="A605">
        <v>15603</v>
      </c>
      <c r="B605" t="s">
        <v>1131</v>
      </c>
      <c r="C605" t="s">
        <v>217</v>
      </c>
      <c r="D605">
        <v>0</v>
      </c>
      <c r="E605">
        <v>1</v>
      </c>
      <c r="F605">
        <v>0</v>
      </c>
      <c r="G605">
        <v>0</v>
      </c>
      <c r="H605" t="s">
        <v>129</v>
      </c>
    </row>
    <row r="606" spans="1:8" ht="20.100000000000001" hidden="1" customHeight="1" x14ac:dyDescent="0.15">
      <c r="A606">
        <v>15604</v>
      </c>
      <c r="B606" t="s">
        <v>1132</v>
      </c>
      <c r="C606" t="s">
        <v>217</v>
      </c>
      <c r="D606">
        <v>0</v>
      </c>
      <c r="E606">
        <v>1</v>
      </c>
      <c r="F606">
        <v>0</v>
      </c>
      <c r="G606">
        <v>0</v>
      </c>
      <c r="H606" t="s">
        <v>129</v>
      </c>
    </row>
    <row r="607" spans="1:8" ht="20.100000000000001" hidden="1" customHeight="1" x14ac:dyDescent="0.15">
      <c r="A607">
        <v>15605</v>
      </c>
      <c r="B607" t="s">
        <v>1133</v>
      </c>
      <c r="C607" t="s">
        <v>217</v>
      </c>
      <c r="D607">
        <v>0</v>
      </c>
      <c r="E607">
        <v>1</v>
      </c>
      <c r="F607">
        <v>0</v>
      </c>
      <c r="G607">
        <v>0</v>
      </c>
      <c r="H607" t="s">
        <v>129</v>
      </c>
    </row>
    <row r="608" spans="1:8" ht="20.100000000000001" hidden="1" customHeight="1" x14ac:dyDescent="0.15">
      <c r="A608">
        <v>15606</v>
      </c>
      <c r="B608" t="s">
        <v>1134</v>
      </c>
      <c r="C608" t="s">
        <v>217</v>
      </c>
      <c r="D608">
        <v>0</v>
      </c>
      <c r="E608">
        <v>1</v>
      </c>
      <c r="F608">
        <v>0</v>
      </c>
      <c r="G608">
        <v>0</v>
      </c>
      <c r="H608" t="s">
        <v>129</v>
      </c>
    </row>
    <row r="609" spans="1:8" ht="20.100000000000001" hidden="1" customHeight="1" x14ac:dyDescent="0.15">
      <c r="A609">
        <v>15607</v>
      </c>
      <c r="B609" t="s">
        <v>1135</v>
      </c>
      <c r="C609" t="s">
        <v>217</v>
      </c>
      <c r="D609">
        <v>0</v>
      </c>
      <c r="E609">
        <v>1</v>
      </c>
      <c r="F609">
        <v>0</v>
      </c>
      <c r="G609">
        <v>0</v>
      </c>
      <c r="H609" t="s">
        <v>129</v>
      </c>
    </row>
    <row r="610" spans="1:8" ht="20.100000000000001" hidden="1" customHeight="1" x14ac:dyDescent="0.15">
      <c r="A610">
        <v>15608</v>
      </c>
      <c r="B610" t="s">
        <v>1136</v>
      </c>
      <c r="C610" t="s">
        <v>217</v>
      </c>
      <c r="D610">
        <v>0</v>
      </c>
      <c r="E610">
        <v>1</v>
      </c>
      <c r="F610">
        <v>0</v>
      </c>
      <c r="G610">
        <v>0</v>
      </c>
      <c r="H610" t="s">
        <v>129</v>
      </c>
    </row>
    <row r="611" spans="1:8" ht="20.100000000000001" hidden="1" customHeight="1" x14ac:dyDescent="0.15">
      <c r="A611">
        <v>15609</v>
      </c>
      <c r="B611" t="s">
        <v>1137</v>
      </c>
      <c r="C611" t="s">
        <v>217</v>
      </c>
      <c r="D611">
        <v>0</v>
      </c>
      <c r="E611">
        <v>1</v>
      </c>
      <c r="F611">
        <v>0</v>
      </c>
      <c r="G611">
        <v>0</v>
      </c>
      <c r="H611" t="s">
        <v>129</v>
      </c>
    </row>
    <row r="612" spans="1:8" ht="20.100000000000001" hidden="1" customHeight="1" x14ac:dyDescent="0.15">
      <c r="A612">
        <v>15610</v>
      </c>
      <c r="B612" t="s">
        <v>1138</v>
      </c>
      <c r="C612" t="s">
        <v>217</v>
      </c>
      <c r="D612">
        <v>0</v>
      </c>
      <c r="E612">
        <v>1</v>
      </c>
      <c r="F612">
        <v>0</v>
      </c>
      <c r="G612">
        <v>0</v>
      </c>
      <c r="H612" t="s">
        <v>129</v>
      </c>
    </row>
    <row r="613" spans="1:8" ht="20.100000000000001" hidden="1" customHeight="1" x14ac:dyDescent="0.15">
      <c r="A613">
        <v>15611</v>
      </c>
      <c r="B613" t="s">
        <v>1139</v>
      </c>
      <c r="C613" t="s">
        <v>217</v>
      </c>
      <c r="D613">
        <v>0</v>
      </c>
      <c r="E613">
        <v>1</v>
      </c>
      <c r="F613">
        <v>0</v>
      </c>
      <c r="G613">
        <v>0</v>
      </c>
      <c r="H613" t="s">
        <v>129</v>
      </c>
    </row>
    <row r="614" spans="1:8" ht="20.100000000000001" hidden="1" customHeight="1" x14ac:dyDescent="0.15">
      <c r="A614">
        <v>15612</v>
      </c>
      <c r="B614" t="s">
        <v>1140</v>
      </c>
      <c r="C614" t="s">
        <v>217</v>
      </c>
      <c r="D614">
        <v>0</v>
      </c>
      <c r="E614">
        <v>1</v>
      </c>
      <c r="F614">
        <v>0</v>
      </c>
      <c r="G614">
        <v>0</v>
      </c>
      <c r="H614" t="s">
        <v>129</v>
      </c>
    </row>
    <row r="615" spans="1:8" ht="20.100000000000001" hidden="1" customHeight="1" x14ac:dyDescent="0.15">
      <c r="A615">
        <v>15613</v>
      </c>
      <c r="B615" t="s">
        <v>1141</v>
      </c>
      <c r="C615" t="s">
        <v>217</v>
      </c>
      <c r="D615">
        <v>0</v>
      </c>
      <c r="E615">
        <v>1</v>
      </c>
      <c r="F615">
        <v>0</v>
      </c>
      <c r="G615">
        <v>0</v>
      </c>
      <c r="H615" t="s">
        <v>129</v>
      </c>
    </row>
    <row r="616" spans="1:8" ht="20.100000000000001" hidden="1" customHeight="1" x14ac:dyDescent="0.15">
      <c r="A616">
        <v>15614</v>
      </c>
      <c r="B616" t="s">
        <v>1142</v>
      </c>
      <c r="C616" t="s">
        <v>217</v>
      </c>
      <c r="D616">
        <v>0</v>
      </c>
      <c r="E616">
        <v>1</v>
      </c>
      <c r="F616">
        <v>0</v>
      </c>
      <c r="G616">
        <v>0</v>
      </c>
      <c r="H616" t="s">
        <v>129</v>
      </c>
    </row>
    <row r="617" spans="1:8" ht="20.100000000000001" hidden="1" customHeight="1" x14ac:dyDescent="0.15">
      <c r="A617">
        <v>15615</v>
      </c>
      <c r="B617" t="s">
        <v>1143</v>
      </c>
      <c r="C617" t="s">
        <v>217</v>
      </c>
      <c r="D617">
        <v>0</v>
      </c>
      <c r="E617">
        <v>1</v>
      </c>
      <c r="F617">
        <v>0</v>
      </c>
      <c r="G617">
        <v>0</v>
      </c>
      <c r="H617" t="s">
        <v>129</v>
      </c>
    </row>
    <row r="618" spans="1:8" ht="20.100000000000001" hidden="1" customHeight="1" x14ac:dyDescent="0.15">
      <c r="A618">
        <v>15616</v>
      </c>
      <c r="B618" t="s">
        <v>1144</v>
      </c>
      <c r="C618" t="s">
        <v>217</v>
      </c>
      <c r="D618">
        <v>0</v>
      </c>
      <c r="E618">
        <v>1</v>
      </c>
      <c r="F618">
        <v>0</v>
      </c>
      <c r="G618">
        <v>0</v>
      </c>
      <c r="H618" t="s">
        <v>129</v>
      </c>
    </row>
    <row r="619" spans="1:8" ht="20.100000000000001" hidden="1" customHeight="1" x14ac:dyDescent="0.15">
      <c r="A619">
        <v>15617</v>
      </c>
      <c r="B619" t="s">
        <v>1145</v>
      </c>
      <c r="C619" t="s">
        <v>217</v>
      </c>
      <c r="D619">
        <v>0</v>
      </c>
      <c r="E619">
        <v>1</v>
      </c>
      <c r="F619">
        <v>0</v>
      </c>
      <c r="G619">
        <v>0</v>
      </c>
      <c r="H619" t="s">
        <v>129</v>
      </c>
    </row>
    <row r="620" spans="1:8" ht="20.100000000000001" hidden="1" customHeight="1" x14ac:dyDescent="0.15">
      <c r="A620">
        <v>15618</v>
      </c>
      <c r="B620" t="s">
        <v>1146</v>
      </c>
      <c r="C620" t="s">
        <v>217</v>
      </c>
      <c r="D620">
        <v>0</v>
      </c>
      <c r="E620">
        <v>1</v>
      </c>
      <c r="F620">
        <v>0</v>
      </c>
      <c r="G620">
        <v>0</v>
      </c>
      <c r="H620" t="s">
        <v>129</v>
      </c>
    </row>
    <row r="621" spans="1:8" ht="20.100000000000001" hidden="1" customHeight="1" x14ac:dyDescent="0.15">
      <c r="A621">
        <v>15619</v>
      </c>
      <c r="B621" t="s">
        <v>1147</v>
      </c>
      <c r="C621" t="s">
        <v>217</v>
      </c>
      <c r="D621">
        <v>0</v>
      </c>
      <c r="E621">
        <v>1</v>
      </c>
      <c r="F621">
        <v>0</v>
      </c>
      <c r="G621">
        <v>0</v>
      </c>
      <c r="H621" t="s">
        <v>129</v>
      </c>
    </row>
    <row r="622" spans="1:8" ht="20.100000000000001" hidden="1" customHeight="1" x14ac:dyDescent="0.15">
      <c r="A622">
        <v>15620</v>
      </c>
      <c r="B622" t="s">
        <v>1148</v>
      </c>
      <c r="C622" t="s">
        <v>217</v>
      </c>
      <c r="D622">
        <v>0</v>
      </c>
      <c r="E622">
        <v>1</v>
      </c>
      <c r="F622">
        <v>0</v>
      </c>
      <c r="G622">
        <v>0</v>
      </c>
      <c r="H622" t="s">
        <v>129</v>
      </c>
    </row>
    <row r="623" spans="1:8" ht="20.100000000000001" hidden="1" customHeight="1" x14ac:dyDescent="0.15">
      <c r="A623">
        <v>15621</v>
      </c>
      <c r="B623" t="s">
        <v>1149</v>
      </c>
      <c r="C623" t="s">
        <v>217</v>
      </c>
      <c r="D623">
        <v>0</v>
      </c>
      <c r="E623">
        <v>1</v>
      </c>
      <c r="F623">
        <v>0</v>
      </c>
      <c r="G623">
        <v>0</v>
      </c>
      <c r="H623" t="s">
        <v>129</v>
      </c>
    </row>
    <row r="624" spans="1:8" ht="20.100000000000001" hidden="1" customHeight="1" x14ac:dyDescent="0.15">
      <c r="A624">
        <v>15622</v>
      </c>
      <c r="B624" t="s">
        <v>1150</v>
      </c>
      <c r="C624" t="s">
        <v>217</v>
      </c>
      <c r="D624">
        <v>0</v>
      </c>
      <c r="E624">
        <v>1</v>
      </c>
      <c r="F624">
        <v>0</v>
      </c>
      <c r="G624">
        <v>0</v>
      </c>
      <c r="H624" t="s">
        <v>129</v>
      </c>
    </row>
    <row r="625" spans="1:8" ht="20.100000000000001" hidden="1" customHeight="1" x14ac:dyDescent="0.15">
      <c r="A625">
        <v>15623</v>
      </c>
      <c r="B625" t="s">
        <v>1151</v>
      </c>
      <c r="C625" t="s">
        <v>217</v>
      </c>
      <c r="D625">
        <v>0</v>
      </c>
      <c r="E625">
        <v>1</v>
      </c>
      <c r="F625">
        <v>0</v>
      </c>
      <c r="G625">
        <v>0</v>
      </c>
      <c r="H625" t="s">
        <v>129</v>
      </c>
    </row>
    <row r="626" spans="1:8" ht="20.100000000000001" hidden="1" customHeight="1" x14ac:dyDescent="0.15">
      <c r="A626">
        <v>15624</v>
      </c>
      <c r="B626" t="s">
        <v>1152</v>
      </c>
      <c r="C626" t="s">
        <v>217</v>
      </c>
      <c r="D626">
        <v>0</v>
      </c>
      <c r="E626">
        <v>1</v>
      </c>
      <c r="F626">
        <v>0</v>
      </c>
      <c r="G626">
        <v>0</v>
      </c>
      <c r="H626" t="s">
        <v>129</v>
      </c>
    </row>
    <row r="627" spans="1:8" ht="20.100000000000001" hidden="1" customHeight="1" x14ac:dyDescent="0.15">
      <c r="A627">
        <v>15625</v>
      </c>
      <c r="B627" t="s">
        <v>1153</v>
      </c>
      <c r="C627" t="s">
        <v>217</v>
      </c>
      <c r="D627">
        <v>0</v>
      </c>
      <c r="E627">
        <v>1</v>
      </c>
      <c r="F627">
        <v>0</v>
      </c>
      <c r="G627">
        <v>0</v>
      </c>
      <c r="H627" t="s">
        <v>129</v>
      </c>
    </row>
    <row r="628" spans="1:8" ht="20.100000000000001" hidden="1" customHeight="1" x14ac:dyDescent="0.15">
      <c r="A628">
        <v>15626</v>
      </c>
      <c r="B628" t="s">
        <v>1154</v>
      </c>
      <c r="C628" t="s">
        <v>217</v>
      </c>
      <c r="D628">
        <v>0</v>
      </c>
      <c r="E628">
        <v>1</v>
      </c>
      <c r="F628">
        <v>0</v>
      </c>
      <c r="G628">
        <v>0</v>
      </c>
      <c r="H628" t="s">
        <v>129</v>
      </c>
    </row>
    <row r="629" spans="1:8" ht="20.100000000000001" hidden="1" customHeight="1" x14ac:dyDescent="0.15">
      <c r="A629">
        <v>15627</v>
      </c>
      <c r="B629" t="s">
        <v>1155</v>
      </c>
      <c r="C629" t="s">
        <v>217</v>
      </c>
      <c r="D629">
        <v>0</v>
      </c>
      <c r="E629">
        <v>1</v>
      </c>
      <c r="F629">
        <v>0</v>
      </c>
      <c r="G629">
        <v>0</v>
      </c>
      <c r="H629" t="s">
        <v>129</v>
      </c>
    </row>
    <row r="630" spans="1:8" ht="20.100000000000001" hidden="1" customHeight="1" x14ac:dyDescent="0.15">
      <c r="A630">
        <v>15628</v>
      </c>
      <c r="B630" t="s">
        <v>1156</v>
      </c>
      <c r="C630" t="s">
        <v>217</v>
      </c>
      <c r="D630">
        <v>0</v>
      </c>
      <c r="E630">
        <v>1</v>
      </c>
      <c r="F630">
        <v>0</v>
      </c>
      <c r="G630">
        <v>0</v>
      </c>
      <c r="H630" t="s">
        <v>129</v>
      </c>
    </row>
    <row r="631" spans="1:8" ht="20.100000000000001" hidden="1" customHeight="1" x14ac:dyDescent="0.15">
      <c r="A631">
        <v>15629</v>
      </c>
      <c r="B631" t="s">
        <v>1157</v>
      </c>
      <c r="C631" t="s">
        <v>217</v>
      </c>
      <c r="D631">
        <v>0</v>
      </c>
      <c r="E631">
        <v>1</v>
      </c>
      <c r="F631">
        <v>0</v>
      </c>
      <c r="G631">
        <v>0</v>
      </c>
      <c r="H631" t="s">
        <v>129</v>
      </c>
    </row>
    <row r="632" spans="1:8" ht="20.100000000000001" hidden="1" customHeight="1" x14ac:dyDescent="0.15">
      <c r="A632">
        <v>15630</v>
      </c>
      <c r="B632" t="s">
        <v>1158</v>
      </c>
      <c r="C632" t="s">
        <v>217</v>
      </c>
      <c r="D632">
        <v>0</v>
      </c>
      <c r="E632">
        <v>1</v>
      </c>
      <c r="F632">
        <v>0</v>
      </c>
      <c r="G632">
        <v>0</v>
      </c>
      <c r="H632" t="s">
        <v>129</v>
      </c>
    </row>
    <row r="633" spans="1:8" ht="20.100000000000001" hidden="1" customHeight="1" x14ac:dyDescent="0.15">
      <c r="A633">
        <v>15631</v>
      </c>
      <c r="B633" t="s">
        <v>1159</v>
      </c>
      <c r="C633" t="s">
        <v>217</v>
      </c>
      <c r="D633">
        <v>0</v>
      </c>
      <c r="E633">
        <v>1</v>
      </c>
      <c r="F633">
        <v>0</v>
      </c>
      <c r="G633">
        <v>0</v>
      </c>
      <c r="H633" t="s">
        <v>129</v>
      </c>
    </row>
    <row r="634" spans="1:8" ht="20.100000000000001" hidden="1" customHeight="1" x14ac:dyDescent="0.15">
      <c r="A634">
        <v>15632</v>
      </c>
      <c r="B634" t="s">
        <v>1160</v>
      </c>
      <c r="C634" t="s">
        <v>217</v>
      </c>
      <c r="D634">
        <v>0</v>
      </c>
      <c r="E634">
        <v>1</v>
      </c>
      <c r="F634">
        <v>0</v>
      </c>
      <c r="G634">
        <v>0</v>
      </c>
      <c r="H634" t="s">
        <v>129</v>
      </c>
    </row>
    <row r="635" spans="1:8" ht="20.100000000000001" hidden="1" customHeight="1" x14ac:dyDescent="0.15">
      <c r="A635">
        <v>15633</v>
      </c>
      <c r="B635" t="s">
        <v>1161</v>
      </c>
      <c r="C635" t="s">
        <v>217</v>
      </c>
      <c r="D635">
        <v>0</v>
      </c>
      <c r="E635">
        <v>1</v>
      </c>
      <c r="F635">
        <v>0</v>
      </c>
      <c r="G635">
        <v>0</v>
      </c>
      <c r="H635" t="s">
        <v>129</v>
      </c>
    </row>
    <row r="636" spans="1:8" ht="20.100000000000001" hidden="1" customHeight="1" x14ac:dyDescent="0.15">
      <c r="A636">
        <v>15634</v>
      </c>
      <c r="B636" t="s">
        <v>1162</v>
      </c>
      <c r="C636" t="s">
        <v>217</v>
      </c>
      <c r="D636">
        <v>0</v>
      </c>
      <c r="E636">
        <v>1</v>
      </c>
      <c r="F636">
        <v>0</v>
      </c>
      <c r="G636">
        <v>0</v>
      </c>
      <c r="H636" t="s">
        <v>129</v>
      </c>
    </row>
    <row r="637" spans="1:8" ht="20.100000000000001" hidden="1" customHeight="1" x14ac:dyDescent="0.15">
      <c r="A637">
        <v>15635</v>
      </c>
      <c r="B637" t="s">
        <v>1163</v>
      </c>
      <c r="C637" t="s">
        <v>217</v>
      </c>
      <c r="D637">
        <v>0</v>
      </c>
      <c r="E637">
        <v>1</v>
      </c>
      <c r="F637">
        <v>0</v>
      </c>
      <c r="G637">
        <v>0</v>
      </c>
      <c r="H637" t="s">
        <v>129</v>
      </c>
    </row>
    <row r="638" spans="1:8" ht="20.100000000000001" hidden="1" customHeight="1" x14ac:dyDescent="0.15">
      <c r="A638">
        <v>15636</v>
      </c>
      <c r="B638" t="s">
        <v>1164</v>
      </c>
      <c r="C638" t="s">
        <v>217</v>
      </c>
      <c r="D638">
        <v>0</v>
      </c>
      <c r="E638">
        <v>1</v>
      </c>
      <c r="F638">
        <v>0</v>
      </c>
      <c r="G638">
        <v>0</v>
      </c>
      <c r="H638" t="s">
        <v>129</v>
      </c>
    </row>
    <row r="639" spans="1:8" ht="20.100000000000001" hidden="1" customHeight="1" x14ac:dyDescent="0.15">
      <c r="A639">
        <v>15637</v>
      </c>
      <c r="B639" t="s">
        <v>1165</v>
      </c>
      <c r="C639" t="s">
        <v>217</v>
      </c>
      <c r="D639">
        <v>0</v>
      </c>
      <c r="E639">
        <v>1</v>
      </c>
      <c r="F639">
        <v>0</v>
      </c>
      <c r="G639">
        <v>0</v>
      </c>
      <c r="H639" t="s">
        <v>129</v>
      </c>
    </row>
    <row r="640" spans="1:8" ht="20.100000000000001" hidden="1" customHeight="1" x14ac:dyDescent="0.15">
      <c r="A640">
        <v>15638</v>
      </c>
      <c r="B640" t="s">
        <v>1166</v>
      </c>
      <c r="C640" t="s">
        <v>217</v>
      </c>
      <c r="D640">
        <v>0</v>
      </c>
      <c r="E640">
        <v>1</v>
      </c>
      <c r="F640">
        <v>0</v>
      </c>
      <c r="G640">
        <v>0</v>
      </c>
      <c r="H640" t="s">
        <v>129</v>
      </c>
    </row>
    <row r="641" spans="1:10" ht="20.100000000000001" hidden="1" customHeight="1" x14ac:dyDescent="0.15">
      <c r="A641">
        <v>15639</v>
      </c>
      <c r="B641" t="s">
        <v>1167</v>
      </c>
      <c r="C641" t="s">
        <v>217</v>
      </c>
      <c r="D641">
        <v>0</v>
      </c>
      <c r="E641">
        <v>1</v>
      </c>
      <c r="F641">
        <v>0</v>
      </c>
      <c r="G641">
        <v>0</v>
      </c>
      <c r="H641" t="s">
        <v>129</v>
      </c>
    </row>
    <row r="642" spans="1:10" ht="20.100000000000001" customHeight="1" x14ac:dyDescent="0.15">
      <c r="A642">
        <v>900</v>
      </c>
      <c r="B642" t="s">
        <v>1168</v>
      </c>
      <c r="C642" t="s">
        <v>1169</v>
      </c>
      <c r="I642" s="22">
        <v>70</v>
      </c>
      <c r="J642" t="s">
        <v>1170</v>
      </c>
    </row>
    <row r="643" spans="1:10" ht="20.100000000000001" customHeight="1" x14ac:dyDescent="0.15">
      <c r="A643">
        <v>901</v>
      </c>
      <c r="B643" t="s">
        <v>1171</v>
      </c>
      <c r="C643" t="s">
        <v>1172</v>
      </c>
      <c r="I643">
        <f>IF(MIBW=1,562,IF(MIBW=0,420))</f>
        <v>562</v>
      </c>
      <c r="J643" t="s">
        <v>1170</v>
      </c>
    </row>
    <row r="644" spans="1:10" ht="20.100000000000001" customHeight="1" x14ac:dyDescent="0.15">
      <c r="A644">
        <v>902</v>
      </c>
      <c r="B644" t="s">
        <v>1173</v>
      </c>
      <c r="C644" t="s">
        <v>1389</v>
      </c>
      <c r="I644" s="22">
        <f>IF(MIBW=1,50,IF(MIBW=0,100))</f>
        <v>50</v>
      </c>
      <c r="J644" t="s">
        <v>1170</v>
      </c>
    </row>
    <row r="645" spans="1:10" ht="20.100000000000001" customHeight="1" x14ac:dyDescent="0.15">
      <c r="A645">
        <v>903</v>
      </c>
      <c r="B645" t="s">
        <v>1174</v>
      </c>
      <c r="C645" t="s">
        <v>1175</v>
      </c>
      <c r="I645">
        <f>IF(MIBW=1,925,IF(MIBW=0,500))</f>
        <v>925</v>
      </c>
      <c r="J645" t="s">
        <v>1170</v>
      </c>
    </row>
    <row r="646" spans="1:10" ht="20.100000000000001" customHeight="1" x14ac:dyDescent="0.15">
      <c r="A646">
        <v>904</v>
      </c>
      <c r="B646" t="s">
        <v>1176</v>
      </c>
      <c r="C646" t="s">
        <v>1177</v>
      </c>
      <c r="I646" s="21">
        <f>IF(MIBW=1,537,IF(MIBW=0,1300))</f>
        <v>537</v>
      </c>
      <c r="J646" t="s">
        <v>1170</v>
      </c>
    </row>
    <row r="647" spans="1:10" ht="20.100000000000001" customHeight="1" x14ac:dyDescent="0.15">
      <c r="A647">
        <v>905</v>
      </c>
      <c r="B647" t="s">
        <v>1178</v>
      </c>
      <c r="C647" t="s">
        <v>1179</v>
      </c>
      <c r="I647">
        <f>IF(MIBW=1,18,IF(MIBW=0,18))</f>
        <v>18</v>
      </c>
      <c r="J647" t="s">
        <v>1170</v>
      </c>
    </row>
    <row r="648" spans="1:10" ht="20.100000000000001" customHeight="1" x14ac:dyDescent="0.15">
      <c r="A648">
        <v>906</v>
      </c>
      <c r="B648" t="s">
        <v>1180</v>
      </c>
      <c r="C648" t="s">
        <v>1181</v>
      </c>
      <c r="I648" s="22">
        <f>IF(MIBW=1,10,IF(MIBW=0,10))</f>
        <v>10</v>
      </c>
      <c r="J648" t="s">
        <v>1170</v>
      </c>
    </row>
    <row r="649" spans="1:10" ht="20.100000000000001" customHeight="1" x14ac:dyDescent="0.15">
      <c r="A649">
        <v>907</v>
      </c>
      <c r="B649" t="s">
        <v>1182</v>
      </c>
      <c r="C649" t="s">
        <v>1183</v>
      </c>
      <c r="I649" s="22">
        <v>60</v>
      </c>
      <c r="J649" t="s">
        <v>1170</v>
      </c>
    </row>
    <row r="650" spans="1:10" ht="20.100000000000001" customHeight="1" x14ac:dyDescent="0.15">
      <c r="A650">
        <v>908</v>
      </c>
      <c r="B650" t="s">
        <v>1184</v>
      </c>
      <c r="C650" t="s">
        <v>1185</v>
      </c>
      <c r="I650" s="22">
        <v>55</v>
      </c>
      <c r="J650" t="s">
        <v>1170</v>
      </c>
    </row>
    <row r="651" spans="1:10" ht="20.100000000000001" customHeight="1" x14ac:dyDescent="0.15">
      <c r="A651">
        <v>909</v>
      </c>
      <c r="B651" t="s">
        <v>1186</v>
      </c>
      <c r="C651" t="s">
        <v>1187</v>
      </c>
      <c r="I651" s="22">
        <v>2</v>
      </c>
      <c r="J651" t="s">
        <v>1170</v>
      </c>
    </row>
    <row r="652" spans="1:10" ht="20.100000000000001" customHeight="1" x14ac:dyDescent="0.15">
      <c r="A652">
        <v>910</v>
      </c>
      <c r="B652" t="s">
        <v>1188</v>
      </c>
      <c r="C652" t="s">
        <v>1189</v>
      </c>
      <c r="I652" s="22">
        <v>22</v>
      </c>
      <c r="J652" t="s">
        <v>1170</v>
      </c>
    </row>
    <row r="653" spans="1:10" ht="20.100000000000001" customHeight="1" x14ac:dyDescent="0.15">
      <c r="A653">
        <v>911</v>
      </c>
      <c r="B653" t="s">
        <v>1190</v>
      </c>
      <c r="C653" t="s">
        <v>1191</v>
      </c>
      <c r="I653" s="22">
        <v>38571</v>
      </c>
    </row>
    <row r="654" spans="1:10" ht="20.100000000000001" hidden="1" customHeight="1" x14ac:dyDescent="0.15">
      <c r="A654">
        <v>912</v>
      </c>
      <c r="B654" t="s">
        <v>1192</v>
      </c>
      <c r="I654" s="21"/>
    </row>
    <row r="655" spans="1:10" ht="20.100000000000001" hidden="1" customHeight="1" x14ac:dyDescent="0.15">
      <c r="A655">
        <v>913</v>
      </c>
      <c r="B655" t="s">
        <v>1193</v>
      </c>
      <c r="I655" s="21"/>
    </row>
    <row r="656" spans="1:10" ht="20.100000000000001" hidden="1" customHeight="1" x14ac:dyDescent="0.15">
      <c r="A656">
        <v>914</v>
      </c>
      <c r="B656" t="s">
        <v>1194</v>
      </c>
      <c r="I656" s="21"/>
    </row>
    <row r="657" spans="1:9" ht="20.100000000000001" hidden="1" customHeight="1" x14ac:dyDescent="0.15">
      <c r="A657">
        <v>915</v>
      </c>
      <c r="B657" t="s">
        <v>1195</v>
      </c>
      <c r="I657" s="21"/>
    </row>
    <row r="658" spans="1:9" ht="20.100000000000001" hidden="1" customHeight="1" x14ac:dyDescent="0.15">
      <c r="A658">
        <v>916</v>
      </c>
      <c r="B658" t="s">
        <v>1196</v>
      </c>
      <c r="I658" s="21"/>
    </row>
    <row r="659" spans="1:9" ht="20.100000000000001" hidden="1" customHeight="1" x14ac:dyDescent="0.15">
      <c r="A659">
        <v>917</v>
      </c>
      <c r="B659" t="s">
        <v>1197</v>
      </c>
    </row>
    <row r="660" spans="1:9" ht="20.100000000000001" hidden="1" customHeight="1" x14ac:dyDescent="0.15">
      <c r="A660">
        <v>918</v>
      </c>
      <c r="B660" t="s">
        <v>1198</v>
      </c>
    </row>
    <row r="661" spans="1:9" ht="20.100000000000001" hidden="1" customHeight="1" x14ac:dyDescent="0.15">
      <c r="A661">
        <v>919</v>
      </c>
      <c r="B661" t="s">
        <v>1199</v>
      </c>
    </row>
    <row r="662" spans="1:9" ht="20.100000000000001" hidden="1" customHeight="1" x14ac:dyDescent="0.15">
      <c r="A662">
        <v>920</v>
      </c>
      <c r="B662" t="s">
        <v>1200</v>
      </c>
    </row>
    <row r="663" spans="1:9" ht="20.100000000000001" hidden="1" customHeight="1" x14ac:dyDescent="0.15">
      <c r="A663">
        <v>921</v>
      </c>
      <c r="B663" t="s">
        <v>1201</v>
      </c>
    </row>
    <row r="664" spans="1:9" ht="20.100000000000001" hidden="1" customHeight="1" x14ac:dyDescent="0.15">
      <c r="A664">
        <v>922</v>
      </c>
      <c r="B664" t="s">
        <v>1202</v>
      </c>
    </row>
    <row r="665" spans="1:9" ht="20.100000000000001" hidden="1" customHeight="1" x14ac:dyDescent="0.15">
      <c r="A665">
        <v>923</v>
      </c>
      <c r="B665" t="s">
        <v>1203</v>
      </c>
    </row>
    <row r="666" spans="1:9" ht="20.100000000000001" hidden="1" customHeight="1" x14ac:dyDescent="0.15">
      <c r="A666">
        <v>924</v>
      </c>
      <c r="B666" t="s">
        <v>1204</v>
      </c>
      <c r="I666" s="21"/>
    </row>
    <row r="667" spans="1:9" ht="20.100000000000001" hidden="1" customHeight="1" x14ac:dyDescent="0.15">
      <c r="A667">
        <v>925</v>
      </c>
      <c r="B667" t="s">
        <v>1205</v>
      </c>
    </row>
    <row r="668" spans="1:9" ht="20.100000000000001" hidden="1" customHeight="1" x14ac:dyDescent="0.15">
      <c r="A668">
        <v>926</v>
      </c>
      <c r="B668" t="s">
        <v>1206</v>
      </c>
    </row>
    <row r="669" spans="1:9" ht="20.100000000000001" hidden="1" customHeight="1" x14ac:dyDescent="0.15">
      <c r="A669">
        <v>927</v>
      </c>
      <c r="B669" t="s">
        <v>1207</v>
      </c>
    </row>
    <row r="670" spans="1:9" ht="20.100000000000001" hidden="1" customHeight="1" x14ac:dyDescent="0.15">
      <c r="A670">
        <v>928</v>
      </c>
      <c r="B670" t="s">
        <v>1208</v>
      </c>
    </row>
    <row r="671" spans="1:9" ht="20.100000000000001" hidden="1" customHeight="1" x14ac:dyDescent="0.15">
      <c r="A671">
        <v>929</v>
      </c>
      <c r="B671" t="s">
        <v>1209</v>
      </c>
    </row>
    <row r="672" spans="1:9" ht="20.100000000000001" customHeight="1" x14ac:dyDescent="0.15">
      <c r="A672">
        <v>930</v>
      </c>
      <c r="B672" t="s">
        <v>1210</v>
      </c>
      <c r="C672" t="s">
        <v>1211</v>
      </c>
      <c r="I672" s="22">
        <f>BW*2/PI()</f>
        <v>84.670429724888322</v>
      </c>
    </row>
    <row r="673" spans="1:9" ht="20.100000000000001" customHeight="1" x14ac:dyDescent="0.15">
      <c r="A673">
        <v>931</v>
      </c>
      <c r="B673" t="s">
        <v>1212</v>
      </c>
      <c r="C673" t="s">
        <v>1213</v>
      </c>
      <c r="I673" s="22">
        <f>(ID_930+1.5)*PI()</f>
        <v>270.71238898038467</v>
      </c>
    </row>
    <row r="674" spans="1:9" ht="20.100000000000001" customHeight="1" x14ac:dyDescent="0.15">
      <c r="A674">
        <v>932</v>
      </c>
      <c r="B674" t="s">
        <v>1214</v>
      </c>
      <c r="C674" t="s">
        <v>1215</v>
      </c>
      <c r="I674" s="21">
        <f>ID_931/300</f>
        <v>0.90237462993461559</v>
      </c>
    </row>
    <row r="675" spans="1:9" ht="20.100000000000001" customHeight="1" x14ac:dyDescent="0.15">
      <c r="A675">
        <v>933</v>
      </c>
      <c r="B675" t="s">
        <v>1216</v>
      </c>
      <c r="C675" t="s">
        <v>1217</v>
      </c>
      <c r="I675">
        <f>ID_932*163</f>
        <v>147.08706467934235</v>
      </c>
    </row>
    <row r="676" spans="1:9" ht="20.100000000000001" customHeight="1" x14ac:dyDescent="0.15">
      <c r="A676">
        <v>934</v>
      </c>
      <c r="B676" t="s">
        <v>1218</v>
      </c>
      <c r="C676" t="s">
        <v>1219</v>
      </c>
      <c r="I676">
        <f>IF(ID_933&lt;137,137,ID_933)</f>
        <v>147.08706467934235</v>
      </c>
    </row>
    <row r="677" spans="1:9" ht="20.100000000000001" customHeight="1" x14ac:dyDescent="0.15">
      <c r="A677">
        <v>935</v>
      </c>
      <c r="B677" t="s">
        <v>1220</v>
      </c>
      <c r="C677" t="s">
        <v>1221</v>
      </c>
      <c r="I677">
        <f>ID_934-ID_933</f>
        <v>0</v>
      </c>
    </row>
    <row r="678" spans="1:9" ht="20.100000000000001" customHeight="1" x14ac:dyDescent="0.15">
      <c r="A678">
        <v>936</v>
      </c>
      <c r="B678" t="s">
        <v>1222</v>
      </c>
      <c r="C678" t="s">
        <v>1223</v>
      </c>
      <c r="I678" s="22">
        <f>ID_933/(TAN(PI()*47/180))</f>
        <v>137.16090678919275</v>
      </c>
    </row>
    <row r="679" spans="1:9" ht="20.100000000000001" customHeight="1" x14ac:dyDescent="0.15">
      <c r="A679">
        <v>937</v>
      </c>
      <c r="B679" t="s">
        <v>1224</v>
      </c>
      <c r="C679" t="s">
        <v>1225</v>
      </c>
      <c r="I679" s="22">
        <f>ID_936+(ID_930+1.5)/2</f>
        <v>180.24612165163691</v>
      </c>
    </row>
    <row r="680" spans="1:9" ht="20.100000000000001" customHeight="1" x14ac:dyDescent="0.15">
      <c r="A680">
        <v>938</v>
      </c>
      <c r="B680" t="s">
        <v>1226</v>
      </c>
      <c r="C680" t="s">
        <v>1227</v>
      </c>
      <c r="I680">
        <f>IF(ID_935=0,0,SQRT(ID_935*ID_935+(128-ID_936)*(128-ID_936)))</f>
        <v>0</v>
      </c>
    </row>
    <row r="681" spans="1:9" ht="20.100000000000001" customHeight="1" x14ac:dyDescent="0.15">
      <c r="A681">
        <v>939</v>
      </c>
      <c r="B681" t="s">
        <v>1228</v>
      </c>
      <c r="C681" t="s">
        <v>1229</v>
      </c>
      <c r="I681" s="22">
        <f>ID_933/SIN(PI()*(47/180))</f>
        <v>201.11618270845005</v>
      </c>
    </row>
    <row r="682" spans="1:9" ht="20.100000000000001" customHeight="1" x14ac:dyDescent="0.15">
      <c r="A682">
        <v>940</v>
      </c>
      <c r="B682" t="s">
        <v>1230</v>
      </c>
      <c r="C682" t="s">
        <v>1231</v>
      </c>
      <c r="I682" s="22">
        <f>ID_934+ID_939+ID_935</f>
        <v>348.20324738779243</v>
      </c>
    </row>
    <row r="683" spans="1:9" ht="20.100000000000001" customHeight="1" x14ac:dyDescent="0.15">
      <c r="A683">
        <v>941</v>
      </c>
      <c r="B683" t="s">
        <v>1232</v>
      </c>
      <c r="C683" t="s">
        <v>1233</v>
      </c>
      <c r="I683" s="22">
        <f>IF(ID_937&lt;168,168,ID_937)</f>
        <v>180.24612165163691</v>
      </c>
    </row>
    <row r="684" spans="1:9" ht="20.100000000000001" customHeight="1" x14ac:dyDescent="0.15">
      <c r="A684">
        <v>942</v>
      </c>
      <c r="B684" t="s">
        <v>1234</v>
      </c>
      <c r="C684" t="s">
        <v>1393</v>
      </c>
      <c r="I684" s="22">
        <f>ID_903-ID_941-ID_956</f>
        <v>721.44100119492157</v>
      </c>
    </row>
    <row r="685" spans="1:9" ht="20.100000000000001" customHeight="1" x14ac:dyDescent="0.15">
      <c r="A685">
        <v>943</v>
      </c>
      <c r="B685" t="s">
        <v>1235</v>
      </c>
      <c r="C685" t="s">
        <v>1236</v>
      </c>
      <c r="I685">
        <f>INT((ID_900+ID_901+ID_902+ID_940+ID_942+ID_905+ID_906+ID_957)/BL)</f>
        <v>10</v>
      </c>
    </row>
    <row r="686" spans="1:9" ht="20.100000000000001" customHeight="1" x14ac:dyDescent="0.15">
      <c r="A686">
        <v>944</v>
      </c>
      <c r="B686" t="s">
        <v>1237</v>
      </c>
      <c r="C686" t="s">
        <v>1238</v>
      </c>
      <c r="I686">
        <f>INT((ID_901+ID_902+ID_940+ID_942+ID_905+ID_906+ID_957)/BL)</f>
        <v>10</v>
      </c>
    </row>
    <row r="687" spans="1:9" ht="20.100000000000001" customHeight="1" x14ac:dyDescent="0.15">
      <c r="A687">
        <v>945</v>
      </c>
      <c r="B687" t="s">
        <v>1239</v>
      </c>
      <c r="C687" t="s">
        <v>1240</v>
      </c>
      <c r="I687">
        <f>INT((ID_900+ID_901+ID_902+ID_940+ID_942+ID_905+ID_906+ID_904+ID_957)/BL)</f>
        <v>14</v>
      </c>
    </row>
    <row r="688" spans="1:9" ht="20.100000000000001" customHeight="1" x14ac:dyDescent="0.15">
      <c r="A688">
        <v>946</v>
      </c>
      <c r="B688" t="s">
        <v>1241</v>
      </c>
      <c r="C688" t="s">
        <v>1242</v>
      </c>
      <c r="I688" s="22">
        <f>60000/BPM</f>
        <v>1000</v>
      </c>
    </row>
    <row r="689" spans="1:9" ht="20.100000000000001" customHeight="1" x14ac:dyDescent="0.15">
      <c r="A689">
        <v>947</v>
      </c>
      <c r="B689" t="s">
        <v>1243</v>
      </c>
      <c r="C689" t="s">
        <v>1244</v>
      </c>
      <c r="I689">
        <f>ID_907*100/ID_946</f>
        <v>6</v>
      </c>
    </row>
    <row r="690" spans="1:9" ht="20.100000000000001" customHeight="1" x14ac:dyDescent="0.15">
      <c r="A690">
        <v>948</v>
      </c>
      <c r="B690" t="s">
        <v>1245</v>
      </c>
      <c r="C690" t="s">
        <v>1246</v>
      </c>
      <c r="I690">
        <f>ID_946*ID_947/100</f>
        <v>60</v>
      </c>
    </row>
    <row r="691" spans="1:9" ht="20.100000000000001" customHeight="1" x14ac:dyDescent="0.15">
      <c r="A691">
        <v>949</v>
      </c>
      <c r="B691" t="s">
        <v>1247</v>
      </c>
      <c r="C691" t="s">
        <v>1248</v>
      </c>
      <c r="I691">
        <f>IF((ID_947&lt;ID_909),ID_947+1,IF((ID_948&lt;ID_908),ID_947+1,ID_947))</f>
        <v>6</v>
      </c>
    </row>
    <row r="692" spans="1:9" ht="20.100000000000001" customHeight="1" x14ac:dyDescent="0.15">
      <c r="A692">
        <v>950</v>
      </c>
      <c r="B692" t="s">
        <v>1249</v>
      </c>
      <c r="C692" t="s">
        <v>1250</v>
      </c>
      <c r="I692" s="21">
        <f>ID_910/(ID_946/100)</f>
        <v>2.2000000000000002</v>
      </c>
    </row>
    <row r="693" spans="1:9" ht="19.5" customHeight="1" x14ac:dyDescent="0.15">
      <c r="A693">
        <v>951</v>
      </c>
      <c r="B693" t="s">
        <v>1251</v>
      </c>
      <c r="C693" t="s">
        <v>295</v>
      </c>
      <c r="I693" s="22" cm="1">
        <f t="array" ref="I693">(ID_901+ID_902+ID_940+ID_942+ID_905+ID_906+ID_957)-ID_944*BL-RGW</f>
        <v>74.812085600050978</v>
      </c>
    </row>
    <row r="694" spans="1:9" ht="20.100000000000001" customHeight="1" x14ac:dyDescent="0.15">
      <c r="A694">
        <v>952</v>
      </c>
      <c r="B694" t="s">
        <v>1252</v>
      </c>
      <c r="C694" t="s">
        <v>1253</v>
      </c>
      <c r="I694" s="22">
        <f>(BL-ID_951) * (ID_911/(1/M1GR)) / (M1PT*(M1PP/1000))</f>
        <v>93186.878978677909</v>
      </c>
    </row>
    <row r="695" spans="1:9" ht="19.5" customHeight="1" x14ac:dyDescent="0.15">
      <c r="A695">
        <v>953</v>
      </c>
      <c r="B695" t="s">
        <v>1254</v>
      </c>
      <c r="C695" t="s">
        <v>1255</v>
      </c>
      <c r="I695" s="22">
        <f>ID_946*2</f>
        <v>2000</v>
      </c>
    </row>
    <row r="696" spans="1:9" ht="19.5" customHeight="1" x14ac:dyDescent="0.15">
      <c r="A696">
        <v>954</v>
      </c>
      <c r="B696" t="s">
        <v>1256</v>
      </c>
      <c r="C696" t="s">
        <v>1388</v>
      </c>
      <c r="I696">
        <f>IF(MIBW=1,50,IF(MIBW=0,0))</f>
        <v>50</v>
      </c>
    </row>
    <row r="697" spans="1:9" ht="19.5" customHeight="1" x14ac:dyDescent="0.15">
      <c r="A697">
        <v>955</v>
      </c>
      <c r="B697" t="s">
        <v>1257</v>
      </c>
      <c r="C697" t="s">
        <v>1392</v>
      </c>
      <c r="I697" s="31">
        <f>ID_954/TAN(PI()*47/180)</f>
        <v>46.625754306883081</v>
      </c>
    </row>
    <row r="698" spans="1:9" ht="19.5" customHeight="1" x14ac:dyDescent="0.15">
      <c r="A698">
        <v>956</v>
      </c>
      <c r="B698" t="s">
        <v>1258</v>
      </c>
      <c r="C698" t="s">
        <v>1391</v>
      </c>
      <c r="I698" s="22">
        <f>ID_955/2</f>
        <v>23.312877153441541</v>
      </c>
    </row>
    <row r="699" spans="1:9" ht="19.5" customHeight="1" x14ac:dyDescent="0.15">
      <c r="A699">
        <v>957</v>
      </c>
      <c r="B699" t="s">
        <v>1259</v>
      </c>
      <c r="C699" t="s">
        <v>1390</v>
      </c>
      <c r="I699" s="22">
        <f>SQRT(ID_954*ID_954+ID_956*ID_956)</f>
        <v>55.167837017336979</v>
      </c>
    </row>
    <row r="700" spans="1:9" ht="13.5" x14ac:dyDescent="0.15">
      <c r="A700">
        <v>958</v>
      </c>
      <c r="B700" t="s">
        <v>1260</v>
      </c>
    </row>
    <row r="701" spans="1:9" ht="13.5" x14ac:dyDescent="0.15">
      <c r="A701">
        <v>959</v>
      </c>
      <c r="B701" t="s">
        <v>1261</v>
      </c>
    </row>
    <row r="702" spans="1:9" ht="13.5" x14ac:dyDescent="0.15">
      <c r="A702">
        <v>960</v>
      </c>
      <c r="B702" t="s">
        <v>1262</v>
      </c>
    </row>
    <row r="703" spans="1:9" ht="13.5" x14ac:dyDescent="0.15">
      <c r="A703">
        <v>961</v>
      </c>
      <c r="B703" t="s">
        <v>1263</v>
      </c>
    </row>
    <row r="704" spans="1:9" ht="13.5" x14ac:dyDescent="0.15">
      <c r="A704">
        <v>962</v>
      </c>
      <c r="B704" t="s">
        <v>1264</v>
      </c>
    </row>
    <row r="705" spans="1:2" ht="13.5" x14ac:dyDescent="0.15">
      <c r="A705">
        <v>963</v>
      </c>
      <c r="B705" t="s">
        <v>1265</v>
      </c>
    </row>
    <row r="706" spans="1:2" ht="13.5" x14ac:dyDescent="0.15">
      <c r="A706">
        <v>964</v>
      </c>
      <c r="B706" t="s">
        <v>1266</v>
      </c>
    </row>
    <row r="707" spans="1:2" ht="13.5" x14ac:dyDescent="0.15">
      <c r="A707">
        <v>965</v>
      </c>
      <c r="B707" t="s">
        <v>1267</v>
      </c>
    </row>
    <row r="708" spans="1:2" ht="13.5" x14ac:dyDescent="0.15">
      <c r="A708">
        <v>966</v>
      </c>
      <c r="B708" t="s">
        <v>1268</v>
      </c>
    </row>
    <row r="709" spans="1:2" ht="13.5" x14ac:dyDescent="0.15">
      <c r="A709">
        <v>967</v>
      </c>
      <c r="B709" t="s">
        <v>1269</v>
      </c>
    </row>
    <row r="710" spans="1:2" ht="13.5" x14ac:dyDescent="0.15">
      <c r="A710">
        <v>968</v>
      </c>
      <c r="B710" t="s">
        <v>1270</v>
      </c>
    </row>
    <row r="711" spans="1:2" ht="13.5" x14ac:dyDescent="0.15">
      <c r="A711">
        <v>969</v>
      </c>
      <c r="B711" t="s">
        <v>1271</v>
      </c>
    </row>
    <row r="712" spans="1:2" ht="13.5" x14ac:dyDescent="0.15">
      <c r="A712">
        <v>970</v>
      </c>
      <c r="B712" t="s">
        <v>1272</v>
      </c>
    </row>
    <row r="713" spans="1:2" ht="13.5" x14ac:dyDescent="0.15">
      <c r="A713">
        <v>971</v>
      </c>
      <c r="B713" t="s">
        <v>1273</v>
      </c>
    </row>
    <row r="714" spans="1:2" ht="13.5" x14ac:dyDescent="0.15">
      <c r="A714">
        <v>972</v>
      </c>
      <c r="B714" t="s">
        <v>1274</v>
      </c>
    </row>
    <row r="715" spans="1:2" ht="13.5" x14ac:dyDescent="0.15">
      <c r="A715">
        <v>973</v>
      </c>
      <c r="B715" t="s">
        <v>1275</v>
      </c>
    </row>
    <row r="716" spans="1:2" ht="13.5" x14ac:dyDescent="0.15">
      <c r="A716">
        <v>974</v>
      </c>
      <c r="B716" t="s">
        <v>1276</v>
      </c>
    </row>
    <row r="717" spans="1:2" ht="13.5" x14ac:dyDescent="0.15">
      <c r="A717">
        <v>975</v>
      </c>
      <c r="B717" t="s">
        <v>1277</v>
      </c>
    </row>
    <row r="718" spans="1:2" ht="13.5" x14ac:dyDescent="0.15">
      <c r="A718">
        <v>976</v>
      </c>
      <c r="B718" t="s">
        <v>1278</v>
      </c>
    </row>
    <row r="719" spans="1:2" ht="13.5" x14ac:dyDescent="0.15">
      <c r="A719">
        <v>977</v>
      </c>
      <c r="B719" t="s">
        <v>1279</v>
      </c>
    </row>
    <row r="720" spans="1:2" ht="13.5" x14ac:dyDescent="0.15">
      <c r="A720">
        <v>978</v>
      </c>
      <c r="B720" t="s">
        <v>1280</v>
      </c>
    </row>
    <row r="721" spans="1:2" ht="13.5" x14ac:dyDescent="0.15">
      <c r="A721">
        <v>979</v>
      </c>
      <c r="B721" t="s">
        <v>1281</v>
      </c>
    </row>
    <row r="722" spans="1:2" ht="13.5" x14ac:dyDescent="0.15">
      <c r="A722">
        <v>980</v>
      </c>
      <c r="B722" t="s">
        <v>1282</v>
      </c>
    </row>
    <row r="723" spans="1:2" ht="13.5" x14ac:dyDescent="0.15">
      <c r="A723">
        <v>981</v>
      </c>
      <c r="B723" t="s">
        <v>1283</v>
      </c>
    </row>
    <row r="724" spans="1:2" ht="13.5" x14ac:dyDescent="0.15">
      <c r="A724">
        <v>982</v>
      </c>
      <c r="B724" t="s">
        <v>1284</v>
      </c>
    </row>
    <row r="725" spans="1:2" ht="13.5" x14ac:dyDescent="0.15">
      <c r="A725">
        <v>983</v>
      </c>
      <c r="B725" t="s">
        <v>1285</v>
      </c>
    </row>
    <row r="726" spans="1:2" ht="13.5" x14ac:dyDescent="0.15">
      <c r="A726">
        <v>984</v>
      </c>
      <c r="B726" t="s">
        <v>1286</v>
      </c>
    </row>
    <row r="727" spans="1:2" ht="13.5" x14ac:dyDescent="0.15">
      <c r="A727">
        <v>985</v>
      </c>
      <c r="B727" t="s">
        <v>1287</v>
      </c>
    </row>
    <row r="728" spans="1:2" ht="13.5" x14ac:dyDescent="0.15">
      <c r="A728">
        <v>986</v>
      </c>
      <c r="B728" t="s">
        <v>1288</v>
      </c>
    </row>
    <row r="729" spans="1:2" ht="13.5" x14ac:dyDescent="0.15">
      <c r="A729">
        <v>987</v>
      </c>
      <c r="B729" t="s">
        <v>1289</v>
      </c>
    </row>
    <row r="730" spans="1:2" ht="13.5" x14ac:dyDescent="0.15">
      <c r="A730">
        <v>988</v>
      </c>
      <c r="B730" t="s">
        <v>1290</v>
      </c>
    </row>
    <row r="731" spans="1:2" ht="13.5" x14ac:dyDescent="0.15">
      <c r="A731">
        <v>989</v>
      </c>
      <c r="B731" t="s">
        <v>1291</v>
      </c>
    </row>
    <row r="732" spans="1:2" ht="13.5" x14ac:dyDescent="0.15">
      <c r="A732">
        <v>990</v>
      </c>
      <c r="B732" t="s">
        <v>1292</v>
      </c>
    </row>
    <row r="733" spans="1:2" ht="13.5" x14ac:dyDescent="0.15">
      <c r="A733">
        <v>991</v>
      </c>
      <c r="B733" t="s">
        <v>1293</v>
      </c>
    </row>
    <row r="734" spans="1:2" ht="13.5" x14ac:dyDescent="0.15">
      <c r="A734">
        <v>992</v>
      </c>
      <c r="B734" t="s">
        <v>1294</v>
      </c>
    </row>
    <row r="735" spans="1:2" ht="13.5" x14ac:dyDescent="0.15">
      <c r="A735">
        <v>993</v>
      </c>
      <c r="B735" t="s">
        <v>1295</v>
      </c>
    </row>
    <row r="736" spans="1:2" ht="13.5" x14ac:dyDescent="0.15">
      <c r="A736">
        <v>994</v>
      </c>
      <c r="B736" t="s">
        <v>1296</v>
      </c>
    </row>
    <row r="737" spans="1:9" ht="13.5" x14ac:dyDescent="0.15">
      <c r="A737">
        <v>995</v>
      </c>
      <c r="B737" t="s">
        <v>1297</v>
      </c>
    </row>
    <row r="738" spans="1:9" ht="13.5" x14ac:dyDescent="0.15">
      <c r="A738">
        <v>996</v>
      </c>
      <c r="B738" t="s">
        <v>1298</v>
      </c>
    </row>
    <row r="739" spans="1:9" ht="13.5" x14ac:dyDescent="0.15">
      <c r="A739">
        <v>997</v>
      </c>
      <c r="B739" t="s">
        <v>1299</v>
      </c>
    </row>
    <row r="740" spans="1:9" ht="13.5" x14ac:dyDescent="0.15">
      <c r="A740">
        <v>998</v>
      </c>
      <c r="B740" t="s">
        <v>1300</v>
      </c>
    </row>
    <row r="741" spans="1:9" ht="13.5" x14ac:dyDescent="0.15">
      <c r="A741">
        <v>999</v>
      </c>
      <c r="B741" t="s">
        <v>1301</v>
      </c>
    </row>
    <row r="749" spans="1:9" ht="20.100000000000001" customHeight="1" x14ac:dyDescent="0.15">
      <c r="I749" s="31"/>
    </row>
    <row r="750" spans="1:9" ht="20.100000000000001" customHeight="1" x14ac:dyDescent="0.15">
      <c r="I750" s="22"/>
    </row>
  </sheetData>
  <autoFilter ref="A1:J741" xr:uid="{EB7AB915-2A55-439E-A785-640F35881038}">
    <filterColumn colId="8">
      <customFilters>
        <customFilter operator="notEqual" val=" "/>
      </customFilters>
    </filterColumn>
  </autoFilter>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lumnToCSV" altText="計算式をCSV形式で出力">
                <anchor moveWithCells="1" sizeWithCells="1">
                  <from>
                    <xdr:col>9</xdr:col>
                    <xdr:colOff>104775</xdr:colOff>
                    <xdr:row>0</xdr:row>
                    <xdr:rowOff>9525</xdr:rowOff>
                  </from>
                  <to>
                    <xdr:col>11</xdr:col>
                    <xdr:colOff>219075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2"/>
  <sheetViews>
    <sheetView tabSelected="1" topLeftCell="A4" zoomScale="115" zoomScaleNormal="115" workbookViewId="0">
      <selection activeCell="B3" sqref="B3"/>
    </sheetView>
  </sheetViews>
  <sheetFormatPr defaultRowHeight="13.5" x14ac:dyDescent="0.15"/>
  <cols>
    <col min="1" max="1" width="28.875" customWidth="1"/>
    <col min="2" max="2" width="9.625" bestFit="1" customWidth="1"/>
    <col min="3" max="3" width="9.75" style="29" customWidth="1"/>
    <col min="4" max="4" width="8.375" bestFit="1" customWidth="1"/>
    <col min="6" max="6" width="31.625" bestFit="1" customWidth="1"/>
    <col min="7" max="7" width="137.875" bestFit="1" customWidth="1"/>
  </cols>
  <sheetData>
    <row r="1" spans="1:7" ht="23.25" customHeight="1" x14ac:dyDescent="0.15">
      <c r="A1" s="6" t="s">
        <v>1302</v>
      </c>
      <c r="B1" s="7"/>
      <c r="C1" s="26"/>
      <c r="D1" s="7"/>
      <c r="E1" s="8"/>
      <c r="F1" s="8" t="s">
        <v>1303</v>
      </c>
      <c r="G1" s="1" t="s">
        <v>1304</v>
      </c>
    </row>
    <row r="2" spans="1:7" x14ac:dyDescent="0.15">
      <c r="A2" s="5" t="s">
        <v>1305</v>
      </c>
      <c r="B2" s="4">
        <v>60</v>
      </c>
      <c r="C2" s="27">
        <f>B2</f>
        <v>60</v>
      </c>
      <c r="D2" s="5" t="s">
        <v>1306</v>
      </c>
      <c r="E2" s="5" t="s">
        <v>1307</v>
      </c>
      <c r="F2" s="5" t="s">
        <v>1308</v>
      </c>
      <c r="G2" s="2"/>
    </row>
    <row r="3" spans="1:7" x14ac:dyDescent="0.15">
      <c r="A3" s="5" t="s">
        <v>1309</v>
      </c>
      <c r="B3" s="4">
        <v>133</v>
      </c>
      <c r="C3" s="27">
        <f>B3*1000</f>
        <v>133000</v>
      </c>
      <c r="D3" s="5" t="s">
        <v>1310</v>
      </c>
      <c r="E3" s="5" t="s">
        <v>1311</v>
      </c>
      <c r="F3" s="5" t="s">
        <v>1312</v>
      </c>
      <c r="G3" s="3"/>
    </row>
    <row r="4" spans="1:7" x14ac:dyDescent="0.15">
      <c r="A4" s="5" t="s">
        <v>1313</v>
      </c>
      <c r="B4" s="4">
        <v>168</v>
      </c>
      <c r="C4" s="27">
        <f>B4*1000</f>
        <v>168000</v>
      </c>
      <c r="D4" s="5" t="s">
        <v>1310</v>
      </c>
      <c r="E4" s="5" t="s">
        <v>1314</v>
      </c>
      <c r="F4" s="5" t="s">
        <v>1315</v>
      </c>
      <c r="G4" s="3"/>
    </row>
    <row r="5" spans="1:7" x14ac:dyDescent="0.15">
      <c r="A5" s="5" t="s">
        <v>1316</v>
      </c>
      <c r="B5" s="4">
        <v>100</v>
      </c>
      <c r="C5" s="27">
        <f>B5*1000</f>
        <v>100000</v>
      </c>
      <c r="D5" s="5" t="s">
        <v>1310</v>
      </c>
      <c r="E5" s="5" t="s">
        <v>1317</v>
      </c>
      <c r="F5" s="25" t="s">
        <v>1318</v>
      </c>
      <c r="G5" s="3"/>
    </row>
    <row r="6" spans="1:7" x14ac:dyDescent="0.15">
      <c r="A6" s="5" t="s">
        <v>1319</v>
      </c>
      <c r="B6" s="4">
        <v>1</v>
      </c>
      <c r="C6" s="27">
        <f t="shared" ref="C6:C34" si="0">B6</f>
        <v>1</v>
      </c>
      <c r="D6" s="5"/>
      <c r="E6" s="5" t="s">
        <v>1320</v>
      </c>
      <c r="F6" s="20" t="s">
        <v>1321</v>
      </c>
      <c r="G6" s="3"/>
    </row>
    <row r="7" spans="1:7" x14ac:dyDescent="0.15">
      <c r="A7" s="5" t="s">
        <v>1322</v>
      </c>
      <c r="B7" s="19">
        <v>10</v>
      </c>
      <c r="C7" s="27">
        <f>B7*1000</f>
        <v>10000</v>
      </c>
      <c r="D7" s="20" t="s">
        <v>1323</v>
      </c>
      <c r="E7" s="5" t="s">
        <v>1324</v>
      </c>
      <c r="F7" s="20" t="s">
        <v>1325</v>
      </c>
    </row>
    <row r="8" spans="1:7" x14ac:dyDescent="0.15">
      <c r="A8" s="5" t="s">
        <v>1326</v>
      </c>
      <c r="B8" s="19">
        <v>6</v>
      </c>
      <c r="C8" s="27">
        <f>B8</f>
        <v>6</v>
      </c>
      <c r="D8" s="20"/>
      <c r="E8" s="5" t="s">
        <v>1327</v>
      </c>
      <c r="F8" s="20" t="s">
        <v>1328</v>
      </c>
    </row>
    <row r="9" spans="1:7" x14ac:dyDescent="0.15">
      <c r="A9" s="18" t="s">
        <v>1329</v>
      </c>
      <c r="B9" s="14"/>
      <c r="C9" s="28"/>
      <c r="D9" s="14"/>
      <c r="E9" s="15"/>
      <c r="F9" s="15"/>
    </row>
    <row r="10" spans="1:7" x14ac:dyDescent="0.15">
      <c r="A10" s="20" t="s">
        <v>1330</v>
      </c>
      <c r="B10" s="19">
        <v>1</v>
      </c>
      <c r="C10" s="27">
        <f t="shared" si="0"/>
        <v>1</v>
      </c>
      <c r="D10" s="20"/>
      <c r="E10" s="20" t="s">
        <v>1331</v>
      </c>
      <c r="F10" s="20" t="s">
        <v>1332</v>
      </c>
      <c r="G10" s="3" t="s">
        <v>1333</v>
      </c>
    </row>
    <row r="11" spans="1:7" x14ac:dyDescent="0.15">
      <c r="A11" s="20" t="s">
        <v>1334</v>
      </c>
      <c r="B11" s="19">
        <v>2</v>
      </c>
      <c r="C11" s="27">
        <f t="shared" si="0"/>
        <v>2</v>
      </c>
      <c r="D11" s="20"/>
      <c r="E11" s="20" t="s">
        <v>1335</v>
      </c>
      <c r="F11" s="20" t="s">
        <v>1332</v>
      </c>
      <c r="G11" s="3" t="s">
        <v>1336</v>
      </c>
    </row>
    <row r="12" spans="1:7" x14ac:dyDescent="0.15">
      <c r="A12" s="20" t="s">
        <v>1337</v>
      </c>
      <c r="B12" s="19">
        <v>0</v>
      </c>
      <c r="C12" s="27">
        <f t="shared" si="0"/>
        <v>0</v>
      </c>
      <c r="D12" s="20"/>
      <c r="E12" s="20" t="s">
        <v>1338</v>
      </c>
      <c r="F12" s="20" t="s">
        <v>1332</v>
      </c>
      <c r="G12" s="3" t="s">
        <v>1339</v>
      </c>
    </row>
    <row r="13" spans="1:7" x14ac:dyDescent="0.15">
      <c r="A13" s="20" t="s">
        <v>1340</v>
      </c>
      <c r="B13" s="19">
        <v>1</v>
      </c>
      <c r="C13" s="27">
        <f t="shared" si="0"/>
        <v>1</v>
      </c>
      <c r="D13" s="20"/>
      <c r="E13" s="20" t="s">
        <v>1341</v>
      </c>
      <c r="F13" s="20" t="s">
        <v>1332</v>
      </c>
      <c r="G13" s="3" t="s">
        <v>1342</v>
      </c>
    </row>
    <row r="14" spans="1:7" x14ac:dyDescent="0.15">
      <c r="A14" s="20" t="s">
        <v>1343</v>
      </c>
      <c r="B14" s="19">
        <v>0</v>
      </c>
      <c r="C14" s="27">
        <f t="shared" si="0"/>
        <v>0</v>
      </c>
      <c r="D14" s="20"/>
      <c r="E14" s="20" t="s">
        <v>1344</v>
      </c>
      <c r="F14" s="20" t="s">
        <v>1332</v>
      </c>
      <c r="G14" s="3" t="s">
        <v>1345</v>
      </c>
    </row>
    <row r="15" spans="1:7" x14ac:dyDescent="0.15">
      <c r="A15" s="20" t="s">
        <v>1346</v>
      </c>
      <c r="B15" s="19">
        <v>20</v>
      </c>
      <c r="C15" s="27">
        <f t="shared" si="0"/>
        <v>20</v>
      </c>
      <c r="D15" s="23"/>
      <c r="E15" s="20" t="s">
        <v>1347</v>
      </c>
      <c r="F15" s="20" t="s">
        <v>1332</v>
      </c>
      <c r="G15" s="3" t="s">
        <v>1348</v>
      </c>
    </row>
    <row r="16" spans="1:7" x14ac:dyDescent="0.15">
      <c r="A16" s="20" t="s">
        <v>1349</v>
      </c>
      <c r="B16" s="19">
        <v>0</v>
      </c>
      <c r="C16" s="27">
        <f t="shared" si="0"/>
        <v>0</v>
      </c>
      <c r="D16" s="23"/>
      <c r="E16" s="20" t="s">
        <v>1350</v>
      </c>
      <c r="F16" s="20" t="s">
        <v>1332</v>
      </c>
      <c r="G16" s="3" t="s">
        <v>1351</v>
      </c>
    </row>
    <row r="17" spans="1:7" x14ac:dyDescent="0.15">
      <c r="A17" s="20" t="s">
        <v>1352</v>
      </c>
      <c r="B17" s="24">
        <v>0</v>
      </c>
      <c r="C17" s="27">
        <f t="shared" si="0"/>
        <v>0</v>
      </c>
      <c r="D17" s="20"/>
      <c r="E17" s="20" t="s">
        <v>1353</v>
      </c>
      <c r="F17" s="20" t="s">
        <v>1332</v>
      </c>
      <c r="G17" s="3" t="s">
        <v>1354</v>
      </c>
    </row>
    <row r="18" spans="1:7" x14ac:dyDescent="0.15">
      <c r="A18" s="20" t="s">
        <v>1355</v>
      </c>
      <c r="B18" s="19">
        <v>0</v>
      </c>
      <c r="C18" s="27">
        <f t="shared" si="0"/>
        <v>0</v>
      </c>
      <c r="D18" s="20"/>
      <c r="E18" s="20" t="s">
        <v>1356</v>
      </c>
      <c r="F18" s="20" t="s">
        <v>1332</v>
      </c>
      <c r="G18" s="3" t="s">
        <v>1357</v>
      </c>
    </row>
    <row r="19" spans="1:7" x14ac:dyDescent="0.15">
      <c r="A19" s="18" t="s">
        <v>1358</v>
      </c>
      <c r="B19" s="14"/>
      <c r="C19" s="28"/>
      <c r="D19" s="14"/>
      <c r="E19" s="15"/>
      <c r="F19" s="15"/>
    </row>
    <row r="20" spans="1:7" x14ac:dyDescent="0.15">
      <c r="A20" s="5" t="s">
        <v>1359</v>
      </c>
      <c r="B20" s="4">
        <v>0</v>
      </c>
      <c r="C20" s="27">
        <f t="shared" si="0"/>
        <v>0</v>
      </c>
      <c r="D20" s="5"/>
      <c r="E20" s="5" t="s">
        <v>1360</v>
      </c>
      <c r="F20" s="5" t="s">
        <v>1361</v>
      </c>
    </row>
    <row r="21" spans="1:7" x14ac:dyDescent="0.15">
      <c r="A21" s="5" t="s">
        <v>1362</v>
      </c>
      <c r="B21" s="4">
        <v>1</v>
      </c>
      <c r="C21" s="27">
        <f t="shared" si="0"/>
        <v>1</v>
      </c>
      <c r="D21" s="5"/>
      <c r="E21" s="5" t="s">
        <v>1363</v>
      </c>
      <c r="F21" s="5" t="s">
        <v>1364</v>
      </c>
    </row>
    <row r="22" spans="1:7" x14ac:dyDescent="0.15">
      <c r="A22" s="5" t="s">
        <v>1365</v>
      </c>
      <c r="B22" s="4">
        <v>7</v>
      </c>
      <c r="C22" s="27">
        <f t="shared" si="0"/>
        <v>7</v>
      </c>
      <c r="D22" s="5"/>
      <c r="E22" s="5" t="s">
        <v>1366</v>
      </c>
      <c r="F22" s="5" t="s">
        <v>1367</v>
      </c>
    </row>
    <row r="23" spans="1:7" x14ac:dyDescent="0.15">
      <c r="A23" s="5" t="s">
        <v>1368</v>
      </c>
      <c r="B23" s="4">
        <v>27</v>
      </c>
      <c r="C23" s="27">
        <f t="shared" si="0"/>
        <v>27</v>
      </c>
      <c r="D23" s="5"/>
      <c r="E23" s="5" t="s">
        <v>1369</v>
      </c>
      <c r="F23" s="5" t="s">
        <v>1370</v>
      </c>
    </row>
    <row r="24" spans="1:7" x14ac:dyDescent="0.15">
      <c r="A24" s="5" t="s">
        <v>1371</v>
      </c>
      <c r="B24" s="4">
        <v>10000</v>
      </c>
      <c r="C24" s="27">
        <f t="shared" si="0"/>
        <v>10000</v>
      </c>
      <c r="D24" s="5"/>
      <c r="E24" s="5" t="s">
        <v>1372</v>
      </c>
      <c r="F24" s="5" t="s">
        <v>1373</v>
      </c>
    </row>
    <row r="25" spans="1:7" x14ac:dyDescent="0.15">
      <c r="A25" s="5" t="s">
        <v>1374</v>
      </c>
      <c r="B25" s="4">
        <v>0</v>
      </c>
      <c r="C25" s="27">
        <f t="shared" si="0"/>
        <v>0</v>
      </c>
      <c r="D25" s="5"/>
      <c r="E25" s="5" t="s">
        <v>1375</v>
      </c>
      <c r="F25" s="5" t="s">
        <v>1376</v>
      </c>
    </row>
    <row r="26" spans="1:7" x14ac:dyDescent="0.15">
      <c r="A26" s="5"/>
      <c r="B26" s="4"/>
      <c r="C26" s="27">
        <f t="shared" si="0"/>
        <v>0</v>
      </c>
      <c r="D26" s="5"/>
      <c r="E26" s="5"/>
      <c r="F26" s="5"/>
    </row>
    <row r="27" spans="1:7" x14ac:dyDescent="0.15">
      <c r="A27" s="5"/>
      <c r="B27" s="4"/>
      <c r="C27" s="27">
        <f t="shared" si="0"/>
        <v>0</v>
      </c>
      <c r="D27" s="5"/>
      <c r="E27" s="5"/>
      <c r="F27" s="5"/>
    </row>
    <row r="28" spans="1:7" x14ac:dyDescent="0.15">
      <c r="A28" s="5"/>
      <c r="B28" s="4"/>
      <c r="C28" s="27">
        <f t="shared" si="0"/>
        <v>0</v>
      </c>
      <c r="D28" s="5"/>
      <c r="E28" s="5"/>
      <c r="F28" s="5"/>
    </row>
    <row r="29" spans="1:7" x14ac:dyDescent="0.15">
      <c r="A29" s="5"/>
      <c r="B29" s="4"/>
      <c r="C29" s="27">
        <f t="shared" si="0"/>
        <v>0</v>
      </c>
      <c r="D29" s="5"/>
      <c r="E29" s="5"/>
      <c r="F29" s="5"/>
    </row>
    <row r="30" spans="1:7" x14ac:dyDescent="0.15">
      <c r="A30" s="5"/>
      <c r="B30" s="4"/>
      <c r="C30" s="27">
        <f t="shared" si="0"/>
        <v>0</v>
      </c>
      <c r="D30" s="5"/>
      <c r="E30" s="5"/>
      <c r="F30" s="5"/>
    </row>
    <row r="31" spans="1:7" x14ac:dyDescent="0.15">
      <c r="A31" s="5"/>
      <c r="B31" s="4"/>
      <c r="C31" s="27">
        <f t="shared" si="0"/>
        <v>0</v>
      </c>
      <c r="D31" s="5"/>
      <c r="E31" s="5"/>
      <c r="F31" s="5"/>
    </row>
    <row r="32" spans="1:7" x14ac:dyDescent="0.15">
      <c r="A32" s="5"/>
      <c r="B32" s="4"/>
      <c r="C32" s="27">
        <f t="shared" si="0"/>
        <v>0</v>
      </c>
      <c r="D32" s="5"/>
      <c r="E32" s="5"/>
      <c r="F32" s="5"/>
    </row>
    <row r="33" spans="1:15" x14ac:dyDescent="0.15">
      <c r="A33" s="5"/>
      <c r="B33" s="4"/>
      <c r="C33" s="27">
        <f t="shared" si="0"/>
        <v>0</v>
      </c>
      <c r="D33" s="5"/>
      <c r="E33" s="5"/>
      <c r="F33" s="5"/>
    </row>
    <row r="34" spans="1:15" x14ac:dyDescent="0.15">
      <c r="A34" s="5"/>
      <c r="B34" s="4"/>
      <c r="C34" s="27">
        <f t="shared" si="0"/>
        <v>0</v>
      </c>
      <c r="D34" s="5"/>
      <c r="E34" s="5"/>
      <c r="F34" s="5"/>
    </row>
    <row r="37" spans="1:15" x14ac:dyDescent="0.15">
      <c r="H37" s="13"/>
      <c r="I37" s="17"/>
      <c r="J37" s="17"/>
      <c r="K37" s="17"/>
      <c r="L37" s="17"/>
      <c r="M37" s="17"/>
      <c r="N37" s="17"/>
      <c r="O37" s="17"/>
    </row>
    <row r="38" spans="1:15" x14ac:dyDescent="0.15">
      <c r="H38" s="12"/>
      <c r="I38" s="17"/>
      <c r="J38" s="17"/>
      <c r="K38" s="17"/>
      <c r="L38" s="17"/>
      <c r="M38" s="17"/>
      <c r="N38" s="17"/>
      <c r="O38" s="17"/>
    </row>
    <row r="39" spans="1:15" x14ac:dyDescent="0.15">
      <c r="H39" s="12"/>
      <c r="I39" s="17"/>
      <c r="J39" s="17"/>
      <c r="K39" s="17"/>
      <c r="L39" s="17"/>
      <c r="M39" s="17"/>
      <c r="N39" s="17"/>
      <c r="O39" s="17"/>
    </row>
    <row r="40" spans="1:15" x14ac:dyDescent="0.15">
      <c r="H40" s="12"/>
      <c r="I40" s="17"/>
      <c r="J40" s="17"/>
      <c r="K40" s="17"/>
      <c r="L40" s="17"/>
      <c r="M40" s="17"/>
      <c r="N40" s="17"/>
      <c r="O40" s="17"/>
    </row>
    <row r="41" spans="1:15" x14ac:dyDescent="0.15">
      <c r="H41" s="12"/>
      <c r="I41" s="17"/>
      <c r="J41" s="17"/>
      <c r="K41" s="17"/>
      <c r="L41" s="17"/>
      <c r="M41" s="17"/>
      <c r="N41" s="17"/>
      <c r="O41" s="17"/>
    </row>
    <row r="42" spans="1:15" x14ac:dyDescent="0.15">
      <c r="H42" s="12"/>
      <c r="I42" s="17"/>
      <c r="J42" s="17"/>
      <c r="K42" s="17"/>
      <c r="L42" s="17"/>
      <c r="M42" s="17"/>
      <c r="N42" s="17"/>
      <c r="O42" s="17"/>
    </row>
    <row r="43" spans="1:15" x14ac:dyDescent="0.15">
      <c r="H43" s="12"/>
      <c r="I43" s="17"/>
      <c r="J43" s="17"/>
      <c r="K43" s="17"/>
      <c r="L43" s="17"/>
      <c r="M43" s="17"/>
      <c r="N43" s="17"/>
      <c r="O43" s="17"/>
    </row>
    <row r="44" spans="1:15" x14ac:dyDescent="0.15">
      <c r="H44" s="12"/>
      <c r="I44" s="17"/>
      <c r="J44" s="17"/>
      <c r="K44" s="17"/>
      <c r="L44" s="17"/>
      <c r="M44" s="17"/>
      <c r="N44" s="17"/>
      <c r="O44" s="17"/>
    </row>
    <row r="45" spans="1:15" x14ac:dyDescent="0.15">
      <c r="H45" s="12"/>
      <c r="I45" s="17"/>
      <c r="J45" s="17"/>
      <c r="K45" s="17"/>
      <c r="L45" s="17"/>
      <c r="M45" s="17"/>
      <c r="N45" s="17"/>
      <c r="O45" s="17"/>
    </row>
    <row r="46" spans="1:15" x14ac:dyDescent="0.15">
      <c r="H46" s="12"/>
      <c r="I46" s="17"/>
      <c r="J46" s="17"/>
      <c r="K46" s="17"/>
      <c r="L46" s="17"/>
      <c r="M46" s="17"/>
      <c r="N46" s="17"/>
      <c r="O46" s="17"/>
    </row>
    <row r="47" spans="1:15" x14ac:dyDescent="0.15">
      <c r="H47" s="12"/>
      <c r="I47" s="17"/>
      <c r="J47" s="17"/>
      <c r="K47" s="17"/>
      <c r="L47" s="17"/>
      <c r="M47" s="17"/>
      <c r="N47" s="17"/>
      <c r="O47" s="17"/>
    </row>
    <row r="48" spans="1:15" x14ac:dyDescent="0.15">
      <c r="H48" s="12"/>
      <c r="I48" s="17"/>
      <c r="J48" s="17"/>
      <c r="K48" s="17"/>
      <c r="L48" s="17"/>
      <c r="M48" s="17"/>
      <c r="N48" s="17"/>
      <c r="O48" s="17"/>
    </row>
    <row r="49" spans="8:15" x14ac:dyDescent="0.15">
      <c r="H49" s="12"/>
      <c r="I49" s="17"/>
      <c r="J49" s="17"/>
      <c r="K49" s="17"/>
      <c r="L49" s="17"/>
      <c r="M49" s="17"/>
      <c r="N49" s="17"/>
      <c r="O49" s="17"/>
    </row>
    <row r="50" spans="8:15" x14ac:dyDescent="0.15">
      <c r="H50" s="12"/>
      <c r="I50" s="17"/>
      <c r="J50" s="17"/>
      <c r="K50" s="17"/>
      <c r="L50" s="17"/>
      <c r="M50" s="17"/>
      <c r="N50" s="17"/>
      <c r="O50" s="17"/>
    </row>
    <row r="51" spans="8:15" x14ac:dyDescent="0.15">
      <c r="H51" s="12"/>
      <c r="I51" s="17"/>
      <c r="J51" s="17"/>
      <c r="K51" s="17"/>
      <c r="L51" s="17"/>
      <c r="M51" s="17"/>
      <c r="N51" s="17"/>
      <c r="O51" s="17"/>
    </row>
    <row r="52" spans="8:15" x14ac:dyDescent="0.15">
      <c r="H52" s="12"/>
      <c r="I52" s="12"/>
      <c r="J52" s="12"/>
      <c r="K52" s="12"/>
      <c r="L52" s="12"/>
      <c r="M52" s="12"/>
      <c r="N52" s="12"/>
      <c r="O52" s="12"/>
    </row>
    <row r="53" spans="8:15" x14ac:dyDescent="0.15">
      <c r="H53" s="12"/>
      <c r="I53" s="12"/>
      <c r="J53" s="12"/>
      <c r="K53" s="12"/>
      <c r="L53" s="12"/>
      <c r="M53" s="12"/>
      <c r="N53" s="12"/>
      <c r="O53" s="12"/>
    </row>
    <row r="54" spans="8:15" x14ac:dyDescent="0.15">
      <c r="H54" s="12"/>
      <c r="I54" s="12"/>
      <c r="J54" s="12"/>
      <c r="K54" s="12"/>
      <c r="L54" s="12"/>
      <c r="M54" s="12"/>
      <c r="N54" s="12"/>
      <c r="O54" s="12"/>
    </row>
    <row r="55" spans="8:15" x14ac:dyDescent="0.15">
      <c r="H55" s="12"/>
      <c r="I55" s="12"/>
      <c r="J55" s="12"/>
      <c r="K55" s="12"/>
      <c r="L55" s="12"/>
      <c r="M55" s="12"/>
      <c r="N55" s="12"/>
      <c r="O55" s="12"/>
    </row>
    <row r="56" spans="8:15" x14ac:dyDescent="0.15">
      <c r="H56" s="12"/>
      <c r="I56" s="12"/>
      <c r="J56" s="12"/>
      <c r="K56" s="12"/>
      <c r="L56" s="12"/>
      <c r="M56" s="12"/>
      <c r="N56" s="12"/>
      <c r="O56" s="12"/>
    </row>
    <row r="57" spans="8:15" x14ac:dyDescent="0.15">
      <c r="H57" s="12"/>
      <c r="I57" s="12"/>
      <c r="J57" s="12"/>
      <c r="K57" s="12"/>
      <c r="L57" s="12"/>
      <c r="M57" s="12"/>
      <c r="N57" s="12"/>
      <c r="O57" s="12"/>
    </row>
    <row r="58" spans="8:15" x14ac:dyDescent="0.15">
      <c r="H58" s="12"/>
      <c r="I58" s="12"/>
      <c r="J58" s="12"/>
      <c r="K58" s="12"/>
      <c r="L58" s="12"/>
      <c r="M58" s="12"/>
      <c r="N58" s="12"/>
      <c r="O58" s="12"/>
    </row>
    <row r="59" spans="8:15" x14ac:dyDescent="0.15">
      <c r="H59" s="12"/>
      <c r="I59" s="12"/>
      <c r="J59" s="12"/>
      <c r="K59" s="12"/>
      <c r="L59" s="12"/>
      <c r="M59" s="12"/>
      <c r="N59" s="12"/>
      <c r="O59" s="12"/>
    </row>
    <row r="60" spans="8:15" x14ac:dyDescent="0.15">
      <c r="H60" s="12"/>
      <c r="I60" s="12"/>
      <c r="J60" s="12"/>
      <c r="K60" s="12"/>
      <c r="L60" s="12"/>
      <c r="M60" s="12"/>
      <c r="N60" s="12"/>
      <c r="O60" s="12"/>
    </row>
    <row r="61" spans="8:15" x14ac:dyDescent="0.15">
      <c r="H61" s="12"/>
      <c r="I61" s="12"/>
      <c r="J61" s="12"/>
      <c r="K61" s="12"/>
      <c r="L61" s="12"/>
      <c r="M61" s="12"/>
      <c r="N61" s="12"/>
      <c r="O61" s="12"/>
    </row>
    <row r="62" spans="8:15" x14ac:dyDescent="0.15">
      <c r="H62" s="12"/>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VALCSV">
                <anchor moveWithCells="1" sizeWithCells="1">
                  <from>
                    <xdr:col>6</xdr:col>
                    <xdr:colOff>2362200</xdr:colOff>
                    <xdr:row>0</xdr:row>
                    <xdr:rowOff>19050</xdr:rowOff>
                  </from>
                  <to>
                    <xdr:col>6</xdr:col>
                    <xdr:colOff>3609975</xdr:colOff>
                    <xdr:row>0</xdr:row>
                    <xdr:rowOff>285750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153B8FBEBB604B99F1339B5E526511" ma:contentTypeVersion="17" ma:contentTypeDescription="Create a new document." ma:contentTypeScope="" ma:versionID="38bdd714039748954fc9bb7e64d2635d">
  <xsd:schema xmlns:xsd="http://www.w3.org/2001/XMLSchema" xmlns:xs="http://www.w3.org/2001/XMLSchema" xmlns:p="http://schemas.microsoft.com/office/2006/metadata/properties" xmlns:ns2="8db11201-e040-4aa1-a481-30a9b6112602" xmlns:ns3="d9f6716b-a971-497d-a250-ae7f52f13acf" targetNamespace="http://schemas.microsoft.com/office/2006/metadata/properties" ma:root="true" ma:fieldsID="614f8d0eaf5ceaf3f48731c8e128b215" ns2:_="" ns3:_="">
    <xsd:import namespace="8db11201-e040-4aa1-a481-30a9b6112602"/>
    <xsd:import namespace="d9f6716b-a971-497d-a250-ae7f52f13ac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b11201-e040-4aa1-a481-30a9b61126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9362753-c74d-4fcb-aafe-437050b331f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6716b-a971-497d-a250-ae7f52f13ac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c751117-4571-4fef-af76-d3aad0708085}" ma:internalName="TaxCatchAll" ma:showField="CatchAllData" ma:web="d9f6716b-a971-497d-a250-ae7f52f13a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9f6716b-a971-497d-a250-ae7f52f13acf" xsi:nil="true"/>
    <lcf76f155ced4ddcb4097134ff3c332f xmlns="8db11201-e040-4aa1-a481-30a9b6112602">
      <Terms xmlns="http://schemas.microsoft.com/office/infopath/2007/PartnerControls"/>
    </lcf76f155ced4ddcb4097134ff3c332f>
    <SharedWithUsers xmlns="d9f6716b-a971-497d-a250-ae7f52f13acf">
      <UserInfo>
        <DisplayName>包装開発1課 Members</DisplayName>
        <AccountId>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E2C01DE-6050-48A5-A8CD-01AA3DDCD4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b11201-e040-4aa1-a481-30a9b6112602"/>
    <ds:schemaRef ds:uri="d9f6716b-a971-497d-a250-ae7f52f13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9888B18-8E1C-4E25-83D1-31493559FC41}">
  <ds:schemaRefs>
    <ds:schemaRef ds:uri="http://schemas.microsoft.com/office/2006/metadata/properties"/>
    <ds:schemaRef ds:uri="http://schemas.microsoft.com/office/infopath/2007/PartnerControls"/>
    <ds:schemaRef ds:uri="d9f6716b-a971-497d-a250-ae7f52f13acf"/>
    <ds:schemaRef ds:uri="8db11201-e040-4aa1-a481-30a9b6112602"/>
  </ds:schemaRefs>
</ds:datastoreItem>
</file>

<file path=customXml/itemProps3.xml><?xml version="1.0" encoding="utf-8"?>
<ds:datastoreItem xmlns:ds="http://schemas.openxmlformats.org/officeDocument/2006/customXml" ds:itemID="{156B88E1-F6BB-4D7D-8E19-B8DB1B1268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762</vt:i4>
      </vt:variant>
    </vt:vector>
  </HeadingPairs>
  <TitlesOfParts>
    <vt:vector size="765" baseType="lpstr">
      <vt:lpstr>改訂履歴</vt:lpstr>
      <vt:lpstr>ID一覧</vt:lpstr>
      <vt:lpstr>入力シート</vt:lpstr>
      <vt:lpstr>BL</vt:lpstr>
      <vt:lpstr>BPM</vt:lpstr>
      <vt:lpstr>BW</vt:lpstr>
      <vt:lpstr>DTRP</vt:lpstr>
      <vt:lpstr>GSL</vt:lpstr>
      <vt:lpstr>ID_000</vt:lpstr>
      <vt:lpstr>ID_001</vt:lpstr>
      <vt:lpstr>ID_002</vt:lpstr>
      <vt:lpstr>ID_003</vt:lpstr>
      <vt:lpstr>ID_004</vt:lpstr>
      <vt:lpstr>ID_005</vt:lpstr>
      <vt:lpstr>ID_006</vt:lpstr>
      <vt:lpstr>ID_007</vt:lpstr>
      <vt:lpstr>ID_008</vt:lpstr>
      <vt:lpstr>ID_009</vt:lpstr>
      <vt:lpstr>ID_010</vt:lpstr>
      <vt:lpstr>ID_011</vt:lpstr>
      <vt:lpstr>ID_012</vt:lpstr>
      <vt:lpstr>ID_013</vt:lpstr>
      <vt:lpstr>ID_014</vt:lpstr>
      <vt:lpstr>ID_015</vt:lpstr>
      <vt:lpstr>ID_016</vt:lpstr>
      <vt:lpstr>ID_017</vt:lpstr>
      <vt:lpstr>ID_018</vt:lpstr>
      <vt:lpstr>ID_019</vt:lpstr>
      <vt:lpstr>ID_020</vt:lpstr>
      <vt:lpstr>ID_021</vt:lpstr>
      <vt:lpstr>ID_022</vt:lpstr>
      <vt:lpstr>ID_023</vt:lpstr>
      <vt:lpstr>ID_024</vt:lpstr>
      <vt:lpstr>ID_025</vt:lpstr>
      <vt:lpstr>ID_026</vt:lpstr>
      <vt:lpstr>ID_027</vt:lpstr>
      <vt:lpstr>ID_028</vt:lpstr>
      <vt:lpstr>ID_029</vt:lpstr>
      <vt:lpstr>ID_030</vt:lpstr>
      <vt:lpstr>ID_031</vt:lpstr>
      <vt:lpstr>ID_032</vt:lpstr>
      <vt:lpstr>ID_033</vt:lpstr>
      <vt:lpstr>ID_034</vt:lpstr>
      <vt:lpstr>ID_035</vt:lpstr>
      <vt:lpstr>ID_036</vt:lpstr>
      <vt:lpstr>ID_037</vt:lpstr>
      <vt:lpstr>ID_038</vt:lpstr>
      <vt:lpstr>ID_039</vt:lpstr>
      <vt:lpstr>ID_040</vt:lpstr>
      <vt:lpstr>ID_041</vt:lpstr>
      <vt:lpstr>ID_042</vt:lpstr>
      <vt:lpstr>ID_043</vt:lpstr>
      <vt:lpstr>ID_044</vt:lpstr>
      <vt:lpstr>ID_045</vt:lpstr>
      <vt:lpstr>ID_046</vt:lpstr>
      <vt:lpstr>ID_047</vt:lpstr>
      <vt:lpstr>ID_048</vt:lpstr>
      <vt:lpstr>ID_049</vt:lpstr>
      <vt:lpstr>ID_050</vt:lpstr>
      <vt:lpstr>ID_051</vt:lpstr>
      <vt:lpstr>ID_052</vt:lpstr>
      <vt:lpstr>ID_053</vt:lpstr>
      <vt:lpstr>ID_054</vt:lpstr>
      <vt:lpstr>ID_055</vt:lpstr>
      <vt:lpstr>ID_056</vt:lpstr>
      <vt:lpstr>ID_057</vt:lpstr>
      <vt:lpstr>ID_058</vt:lpstr>
      <vt:lpstr>ID_059</vt:lpstr>
      <vt:lpstr>ID_060</vt:lpstr>
      <vt:lpstr>ID_061</vt:lpstr>
      <vt:lpstr>ID_062</vt:lpstr>
      <vt:lpstr>ID_063</vt:lpstr>
      <vt:lpstr>ID_064</vt:lpstr>
      <vt:lpstr>ID_065</vt:lpstr>
      <vt:lpstr>ID_066</vt:lpstr>
      <vt:lpstr>ID_067</vt:lpstr>
      <vt:lpstr>ID_068</vt:lpstr>
      <vt:lpstr>ID_069</vt:lpstr>
      <vt:lpstr>ID_070</vt:lpstr>
      <vt:lpstr>ID_071</vt:lpstr>
      <vt:lpstr>ID_072</vt:lpstr>
      <vt:lpstr>ID_073</vt:lpstr>
      <vt:lpstr>ID_074</vt:lpstr>
      <vt:lpstr>ID_075</vt:lpstr>
      <vt:lpstr>ID_076</vt:lpstr>
      <vt:lpstr>ID_077</vt:lpstr>
      <vt:lpstr>ID_078</vt:lpstr>
      <vt:lpstr>ID_079</vt:lpstr>
      <vt:lpstr>ID_080</vt:lpstr>
      <vt:lpstr>ID_081</vt:lpstr>
      <vt:lpstr>ID_082</vt:lpstr>
      <vt:lpstr>ID_083</vt:lpstr>
      <vt:lpstr>ID_084</vt:lpstr>
      <vt:lpstr>ID_085</vt:lpstr>
      <vt:lpstr>ID_086</vt:lpstr>
      <vt:lpstr>ID_087</vt:lpstr>
      <vt:lpstr>ID_088</vt:lpstr>
      <vt:lpstr>ID_089</vt:lpstr>
      <vt:lpstr>ID_090</vt:lpstr>
      <vt:lpstr>ID_091</vt:lpstr>
      <vt:lpstr>ID_092</vt:lpstr>
      <vt:lpstr>ID_093</vt:lpstr>
      <vt:lpstr>ID_094</vt:lpstr>
      <vt:lpstr>ID_095</vt:lpstr>
      <vt:lpstr>ID_096</vt:lpstr>
      <vt:lpstr>ID_097</vt:lpstr>
      <vt:lpstr>ID_098</vt:lpstr>
      <vt:lpstr>ID_099</vt:lpstr>
      <vt:lpstr>ID_100</vt:lpstr>
      <vt:lpstr>ID_101</vt:lpstr>
      <vt:lpstr>ID_102</vt:lpstr>
      <vt:lpstr>ID_103</vt:lpstr>
      <vt:lpstr>ID_104</vt:lpstr>
      <vt:lpstr>ID_105</vt:lpstr>
      <vt:lpstr>ID_106</vt:lpstr>
      <vt:lpstr>ID_107</vt:lpstr>
      <vt:lpstr>ID_108</vt:lpstr>
      <vt:lpstr>ID_109</vt:lpstr>
      <vt:lpstr>ID_110</vt:lpstr>
      <vt:lpstr>ID_111</vt:lpstr>
      <vt:lpstr>ID_112</vt:lpstr>
      <vt:lpstr>ID_113</vt:lpstr>
      <vt:lpstr>ID_114</vt:lpstr>
      <vt:lpstr>ID_115</vt:lpstr>
      <vt:lpstr>ID_116</vt:lpstr>
      <vt:lpstr>ID_117</vt:lpstr>
      <vt:lpstr>ID_118</vt:lpstr>
      <vt:lpstr>ID_119</vt:lpstr>
      <vt:lpstr>ID_120</vt:lpstr>
      <vt:lpstr>ID_121</vt:lpstr>
      <vt:lpstr>ID_122</vt:lpstr>
      <vt:lpstr>ID_123</vt:lpstr>
      <vt:lpstr>ID_124</vt:lpstr>
      <vt:lpstr>ID_125</vt:lpstr>
      <vt:lpstr>ID_126</vt:lpstr>
      <vt:lpstr>ID_127</vt:lpstr>
      <vt:lpstr>ID_128</vt:lpstr>
      <vt:lpstr>ID_129</vt:lpstr>
      <vt:lpstr>ID_130</vt:lpstr>
      <vt:lpstr>ID_131</vt:lpstr>
      <vt:lpstr>ID_132</vt:lpstr>
      <vt:lpstr>ID_133</vt:lpstr>
      <vt:lpstr>ID_134</vt:lpstr>
      <vt:lpstr>ID_135</vt:lpstr>
      <vt:lpstr>ID_136</vt:lpstr>
      <vt:lpstr>ID_137</vt:lpstr>
      <vt:lpstr>ID_138</vt:lpstr>
      <vt:lpstr>ID_139</vt:lpstr>
      <vt:lpstr>ID_140</vt:lpstr>
      <vt:lpstr>ID_141</vt:lpstr>
      <vt:lpstr>ID_142</vt:lpstr>
      <vt:lpstr>ID_143</vt:lpstr>
      <vt:lpstr>ID_144</vt:lpstr>
      <vt:lpstr>ID_145</vt:lpstr>
      <vt:lpstr>ID_146</vt:lpstr>
      <vt:lpstr>ID_147</vt:lpstr>
      <vt:lpstr>ID_148</vt:lpstr>
      <vt:lpstr>ID_149</vt:lpstr>
      <vt:lpstr>ID_150</vt:lpstr>
      <vt:lpstr>ID_151</vt:lpstr>
      <vt:lpstr>ID_152</vt:lpstr>
      <vt:lpstr>ID_153</vt:lpstr>
      <vt:lpstr>ID_154</vt:lpstr>
      <vt:lpstr>ID_155</vt:lpstr>
      <vt:lpstr>ID_156</vt:lpstr>
      <vt:lpstr>ID_157</vt:lpstr>
      <vt:lpstr>ID_158</vt:lpstr>
      <vt:lpstr>ID_159</vt:lpstr>
      <vt:lpstr>ID_160</vt:lpstr>
      <vt:lpstr>ID_161</vt:lpstr>
      <vt:lpstr>ID_162</vt:lpstr>
      <vt:lpstr>ID_163</vt:lpstr>
      <vt:lpstr>ID_164</vt:lpstr>
      <vt:lpstr>ID_165</vt:lpstr>
      <vt:lpstr>ID_166</vt:lpstr>
      <vt:lpstr>ID_167</vt:lpstr>
      <vt:lpstr>ID_168</vt:lpstr>
      <vt:lpstr>ID_169</vt:lpstr>
      <vt:lpstr>ID_170</vt:lpstr>
      <vt:lpstr>ID_171</vt:lpstr>
      <vt:lpstr>ID_172</vt:lpstr>
      <vt:lpstr>ID_173</vt:lpstr>
      <vt:lpstr>ID_174</vt:lpstr>
      <vt:lpstr>ID_175</vt:lpstr>
      <vt:lpstr>ID_176</vt:lpstr>
      <vt:lpstr>ID_177</vt:lpstr>
      <vt:lpstr>ID_178</vt:lpstr>
      <vt:lpstr>ID_179</vt:lpstr>
      <vt:lpstr>ID_180</vt:lpstr>
      <vt:lpstr>ID_181</vt:lpstr>
      <vt:lpstr>ID_182</vt:lpstr>
      <vt:lpstr>ID_183</vt:lpstr>
      <vt:lpstr>ID_184</vt:lpstr>
      <vt:lpstr>ID_185</vt:lpstr>
      <vt:lpstr>ID_186</vt:lpstr>
      <vt:lpstr>ID_187</vt:lpstr>
      <vt:lpstr>ID_188</vt:lpstr>
      <vt:lpstr>ID_189</vt:lpstr>
      <vt:lpstr>ID_190</vt:lpstr>
      <vt:lpstr>ID_191</vt:lpstr>
      <vt:lpstr>ID_192</vt:lpstr>
      <vt:lpstr>ID_193</vt:lpstr>
      <vt:lpstr>ID_194</vt:lpstr>
      <vt:lpstr>ID_195</vt:lpstr>
      <vt:lpstr>ID_196</vt:lpstr>
      <vt:lpstr>ID_197</vt:lpstr>
      <vt:lpstr>ID_198</vt:lpstr>
      <vt:lpstr>ID_199</vt:lpstr>
      <vt:lpstr>ID_200</vt:lpstr>
      <vt:lpstr>ID_201</vt:lpstr>
      <vt:lpstr>ID_202</vt:lpstr>
      <vt:lpstr>ID_203</vt:lpstr>
      <vt:lpstr>ID_204</vt:lpstr>
      <vt:lpstr>ID_205</vt:lpstr>
      <vt:lpstr>ID_206</vt:lpstr>
      <vt:lpstr>ID_207</vt:lpstr>
      <vt:lpstr>ID_208</vt:lpstr>
      <vt:lpstr>ID_209</vt:lpstr>
      <vt:lpstr>ID_210</vt:lpstr>
      <vt:lpstr>ID_211</vt:lpstr>
      <vt:lpstr>ID_212</vt:lpstr>
      <vt:lpstr>ID_213</vt:lpstr>
      <vt:lpstr>ID_214</vt:lpstr>
      <vt:lpstr>ID_215</vt:lpstr>
      <vt:lpstr>ID_216</vt:lpstr>
      <vt:lpstr>ID_217</vt:lpstr>
      <vt:lpstr>ID_218</vt:lpstr>
      <vt:lpstr>ID_219</vt:lpstr>
      <vt:lpstr>ID_220</vt:lpstr>
      <vt:lpstr>ID_221</vt:lpstr>
      <vt:lpstr>ID_222</vt:lpstr>
      <vt:lpstr>ID_223</vt:lpstr>
      <vt:lpstr>ID_224</vt:lpstr>
      <vt:lpstr>ID_225</vt:lpstr>
      <vt:lpstr>ID_226</vt:lpstr>
      <vt:lpstr>ID_227</vt:lpstr>
      <vt:lpstr>ID_228</vt:lpstr>
      <vt:lpstr>ID_229</vt:lpstr>
      <vt:lpstr>ID_230</vt:lpstr>
      <vt:lpstr>ID_231</vt:lpstr>
      <vt:lpstr>ID_232</vt:lpstr>
      <vt:lpstr>ID_233</vt:lpstr>
      <vt:lpstr>ID_234</vt:lpstr>
      <vt:lpstr>ID_235</vt:lpstr>
      <vt:lpstr>ID_236</vt:lpstr>
      <vt:lpstr>ID_237</vt:lpstr>
      <vt:lpstr>ID_238</vt:lpstr>
      <vt:lpstr>ID_239</vt:lpstr>
      <vt:lpstr>ID_240</vt:lpstr>
      <vt:lpstr>ID_241</vt:lpstr>
      <vt:lpstr>ID_242</vt:lpstr>
      <vt:lpstr>ID_243</vt:lpstr>
      <vt:lpstr>ID_244</vt:lpstr>
      <vt:lpstr>ID_245</vt:lpstr>
      <vt:lpstr>ID_246</vt:lpstr>
      <vt:lpstr>ID_247</vt:lpstr>
      <vt:lpstr>ID_248</vt:lpstr>
      <vt:lpstr>ID_249</vt:lpstr>
      <vt:lpstr>ID_250</vt:lpstr>
      <vt:lpstr>ID_251</vt:lpstr>
      <vt:lpstr>ID_252</vt:lpstr>
      <vt:lpstr>ID_253</vt:lpstr>
      <vt:lpstr>ID_254</vt:lpstr>
      <vt:lpstr>ID_255</vt:lpstr>
      <vt:lpstr>ID_256</vt:lpstr>
      <vt:lpstr>ID_257</vt:lpstr>
      <vt:lpstr>ID_258</vt:lpstr>
      <vt:lpstr>ID_259</vt:lpstr>
      <vt:lpstr>ID_260</vt:lpstr>
      <vt:lpstr>ID_261</vt:lpstr>
      <vt:lpstr>ID_262</vt:lpstr>
      <vt:lpstr>ID_263</vt:lpstr>
      <vt:lpstr>ID_264</vt:lpstr>
      <vt:lpstr>ID_265</vt:lpstr>
      <vt:lpstr>ID_266</vt:lpstr>
      <vt:lpstr>ID_267</vt:lpstr>
      <vt:lpstr>ID_268</vt:lpstr>
      <vt:lpstr>ID_269</vt:lpstr>
      <vt:lpstr>ID_270</vt:lpstr>
      <vt:lpstr>ID_271</vt:lpstr>
      <vt:lpstr>ID_272</vt:lpstr>
      <vt:lpstr>ID_273</vt:lpstr>
      <vt:lpstr>ID_274</vt:lpstr>
      <vt:lpstr>ID_275</vt:lpstr>
      <vt:lpstr>ID_276</vt:lpstr>
      <vt:lpstr>ID_277</vt:lpstr>
      <vt:lpstr>ID_278</vt:lpstr>
      <vt:lpstr>ID_279</vt:lpstr>
      <vt:lpstr>ID_280</vt:lpstr>
      <vt:lpstr>ID_281</vt:lpstr>
      <vt:lpstr>ID_282</vt:lpstr>
      <vt:lpstr>ID_283</vt:lpstr>
      <vt:lpstr>ID_284</vt:lpstr>
      <vt:lpstr>ID_285</vt:lpstr>
      <vt:lpstr>ID_286</vt:lpstr>
      <vt:lpstr>ID_287</vt:lpstr>
      <vt:lpstr>ID_288</vt:lpstr>
      <vt:lpstr>ID_289</vt:lpstr>
      <vt:lpstr>ID_290</vt:lpstr>
      <vt:lpstr>ID_291</vt:lpstr>
      <vt:lpstr>ID_292</vt:lpstr>
      <vt:lpstr>ID_293</vt:lpstr>
      <vt:lpstr>ID_294</vt:lpstr>
      <vt:lpstr>ID_295</vt:lpstr>
      <vt:lpstr>ID_296</vt:lpstr>
      <vt:lpstr>ID_297</vt:lpstr>
      <vt:lpstr>ID_298</vt:lpstr>
      <vt:lpstr>ID_299</vt:lpstr>
      <vt:lpstr>ID_300</vt:lpstr>
      <vt:lpstr>ID_301</vt:lpstr>
      <vt:lpstr>ID_302</vt:lpstr>
      <vt:lpstr>ID_303</vt:lpstr>
      <vt:lpstr>ID_304</vt:lpstr>
      <vt:lpstr>ID_305</vt:lpstr>
      <vt:lpstr>ID_306</vt:lpstr>
      <vt:lpstr>ID_307</vt:lpstr>
      <vt:lpstr>ID_308</vt:lpstr>
      <vt:lpstr>ID_309</vt:lpstr>
      <vt:lpstr>ID_310</vt:lpstr>
      <vt:lpstr>ID_311</vt:lpstr>
      <vt:lpstr>ID_312</vt:lpstr>
      <vt:lpstr>ID_313</vt:lpstr>
      <vt:lpstr>ID_314</vt:lpstr>
      <vt:lpstr>ID_315</vt:lpstr>
      <vt:lpstr>ID_316</vt:lpstr>
      <vt:lpstr>ID_317</vt:lpstr>
      <vt:lpstr>ID_318</vt:lpstr>
      <vt:lpstr>ID_319</vt:lpstr>
      <vt:lpstr>ID_320</vt:lpstr>
      <vt:lpstr>ID_321</vt:lpstr>
      <vt:lpstr>ID_322</vt:lpstr>
      <vt:lpstr>ID_323</vt:lpstr>
      <vt:lpstr>ID_324</vt:lpstr>
      <vt:lpstr>ID_325</vt:lpstr>
      <vt:lpstr>ID_326</vt:lpstr>
      <vt:lpstr>ID_327</vt:lpstr>
      <vt:lpstr>ID_328</vt:lpstr>
      <vt:lpstr>ID_329</vt:lpstr>
      <vt:lpstr>ID_330</vt:lpstr>
      <vt:lpstr>ID_331</vt:lpstr>
      <vt:lpstr>ID_332</vt:lpstr>
      <vt:lpstr>ID_333</vt:lpstr>
      <vt:lpstr>ID_334</vt:lpstr>
      <vt:lpstr>ID_335</vt:lpstr>
      <vt:lpstr>ID_336</vt:lpstr>
      <vt:lpstr>ID_337</vt:lpstr>
      <vt:lpstr>ID_338</vt:lpstr>
      <vt:lpstr>ID_339</vt:lpstr>
      <vt:lpstr>ID_340</vt:lpstr>
      <vt:lpstr>ID_341</vt:lpstr>
      <vt:lpstr>ID_342</vt:lpstr>
      <vt:lpstr>ID_343</vt:lpstr>
      <vt:lpstr>ID_344</vt:lpstr>
      <vt:lpstr>ID_345</vt:lpstr>
      <vt:lpstr>ID_346</vt:lpstr>
      <vt:lpstr>ID_347</vt:lpstr>
      <vt:lpstr>ID_348</vt:lpstr>
      <vt:lpstr>ID_349</vt:lpstr>
      <vt:lpstr>ID_350</vt:lpstr>
      <vt:lpstr>ID_351</vt:lpstr>
      <vt:lpstr>ID_352</vt:lpstr>
      <vt:lpstr>ID_353</vt:lpstr>
      <vt:lpstr>ID_354</vt:lpstr>
      <vt:lpstr>ID_355</vt:lpstr>
      <vt:lpstr>ID_356</vt:lpstr>
      <vt:lpstr>ID_357</vt:lpstr>
      <vt:lpstr>ID_358</vt:lpstr>
      <vt:lpstr>ID_359</vt:lpstr>
      <vt:lpstr>ID_360</vt:lpstr>
      <vt:lpstr>ID_361</vt:lpstr>
      <vt:lpstr>ID_362</vt:lpstr>
      <vt:lpstr>ID_363</vt:lpstr>
      <vt:lpstr>ID_364</vt:lpstr>
      <vt:lpstr>ID_365</vt:lpstr>
      <vt:lpstr>ID_366</vt:lpstr>
      <vt:lpstr>ID_367</vt:lpstr>
      <vt:lpstr>ID_368</vt:lpstr>
      <vt:lpstr>ID_369</vt:lpstr>
      <vt:lpstr>ID_370</vt:lpstr>
      <vt:lpstr>ID_371</vt:lpstr>
      <vt:lpstr>ID_372</vt:lpstr>
      <vt:lpstr>ID_373</vt:lpstr>
      <vt:lpstr>ID_374</vt:lpstr>
      <vt:lpstr>ID_375</vt:lpstr>
      <vt:lpstr>ID_376</vt:lpstr>
      <vt:lpstr>ID_377</vt:lpstr>
      <vt:lpstr>ID_378</vt:lpstr>
      <vt:lpstr>ID_379</vt:lpstr>
      <vt:lpstr>ID_380</vt:lpstr>
      <vt:lpstr>ID_381</vt:lpstr>
      <vt:lpstr>ID_382</vt:lpstr>
      <vt:lpstr>ID_383</vt:lpstr>
      <vt:lpstr>ID_384</vt:lpstr>
      <vt:lpstr>ID_385</vt:lpstr>
      <vt:lpstr>ID_386</vt:lpstr>
      <vt:lpstr>ID_387</vt:lpstr>
      <vt:lpstr>ID_388</vt:lpstr>
      <vt:lpstr>ID_389</vt:lpstr>
      <vt:lpstr>ID_390</vt:lpstr>
      <vt:lpstr>ID_391</vt:lpstr>
      <vt:lpstr>ID_392</vt:lpstr>
      <vt:lpstr>ID_393</vt:lpstr>
      <vt:lpstr>ID_394</vt:lpstr>
      <vt:lpstr>ID_395</vt:lpstr>
      <vt:lpstr>ID_396</vt:lpstr>
      <vt:lpstr>ID_397</vt:lpstr>
      <vt:lpstr>ID_398</vt:lpstr>
      <vt:lpstr>ID_399</vt:lpstr>
      <vt:lpstr>ID_400</vt:lpstr>
      <vt:lpstr>ID_401</vt:lpstr>
      <vt:lpstr>ID_402</vt:lpstr>
      <vt:lpstr>ID_403</vt:lpstr>
      <vt:lpstr>ID_404</vt:lpstr>
      <vt:lpstr>ID_405</vt:lpstr>
      <vt:lpstr>ID_406</vt:lpstr>
      <vt:lpstr>ID_407</vt:lpstr>
      <vt:lpstr>ID_408</vt:lpstr>
      <vt:lpstr>ID_409</vt:lpstr>
      <vt:lpstr>ID_410</vt:lpstr>
      <vt:lpstr>ID_411</vt:lpstr>
      <vt:lpstr>ID_412</vt:lpstr>
      <vt:lpstr>ID_413</vt:lpstr>
      <vt:lpstr>ID_414</vt:lpstr>
      <vt:lpstr>ID_415</vt:lpstr>
      <vt:lpstr>ID_416</vt:lpstr>
      <vt:lpstr>ID_417</vt:lpstr>
      <vt:lpstr>ID_418</vt:lpstr>
      <vt:lpstr>ID_419</vt:lpstr>
      <vt:lpstr>ID_420</vt:lpstr>
      <vt:lpstr>ID_421</vt:lpstr>
      <vt:lpstr>ID_422</vt:lpstr>
      <vt:lpstr>ID_423</vt:lpstr>
      <vt:lpstr>ID_424</vt:lpstr>
      <vt:lpstr>ID_425</vt:lpstr>
      <vt:lpstr>ID_426</vt:lpstr>
      <vt:lpstr>ID_427</vt:lpstr>
      <vt:lpstr>ID_428</vt:lpstr>
      <vt:lpstr>ID_429</vt:lpstr>
      <vt:lpstr>ID_430</vt:lpstr>
      <vt:lpstr>ID_431</vt:lpstr>
      <vt:lpstr>ID_432</vt:lpstr>
      <vt:lpstr>ID_433</vt:lpstr>
      <vt:lpstr>ID_434</vt:lpstr>
      <vt:lpstr>ID_435</vt:lpstr>
      <vt:lpstr>ID_436</vt:lpstr>
      <vt:lpstr>ID_437</vt:lpstr>
      <vt:lpstr>ID_438</vt:lpstr>
      <vt:lpstr>ID_439</vt:lpstr>
      <vt:lpstr>ID_440</vt:lpstr>
      <vt:lpstr>ID_441</vt:lpstr>
      <vt:lpstr>ID_442</vt:lpstr>
      <vt:lpstr>ID_443</vt:lpstr>
      <vt:lpstr>ID_444</vt:lpstr>
      <vt:lpstr>ID_445</vt:lpstr>
      <vt:lpstr>ID_446</vt:lpstr>
      <vt:lpstr>ID_447</vt:lpstr>
      <vt:lpstr>ID_448</vt:lpstr>
      <vt:lpstr>ID_449</vt:lpstr>
      <vt:lpstr>ID_450</vt:lpstr>
      <vt:lpstr>ID_451</vt:lpstr>
      <vt:lpstr>ID_452</vt:lpstr>
      <vt:lpstr>ID_453</vt:lpstr>
      <vt:lpstr>ID_454</vt:lpstr>
      <vt:lpstr>ID_455</vt:lpstr>
      <vt:lpstr>ID_456</vt:lpstr>
      <vt:lpstr>ID_457</vt:lpstr>
      <vt:lpstr>ID_458</vt:lpstr>
      <vt:lpstr>ID_459</vt:lpstr>
      <vt:lpstr>ID_460</vt:lpstr>
      <vt:lpstr>ID_461</vt:lpstr>
      <vt:lpstr>ID_462</vt:lpstr>
      <vt:lpstr>ID_463</vt:lpstr>
      <vt:lpstr>ID_464</vt:lpstr>
      <vt:lpstr>ID_465</vt:lpstr>
      <vt:lpstr>ID_466</vt:lpstr>
      <vt:lpstr>ID_467</vt:lpstr>
      <vt:lpstr>ID_468</vt:lpstr>
      <vt:lpstr>ID_469</vt:lpstr>
      <vt:lpstr>ID_470</vt:lpstr>
      <vt:lpstr>ID_471</vt:lpstr>
      <vt:lpstr>ID_472</vt:lpstr>
      <vt:lpstr>ID_473</vt:lpstr>
      <vt:lpstr>ID_474</vt:lpstr>
      <vt:lpstr>ID_475</vt:lpstr>
      <vt:lpstr>ID_476</vt:lpstr>
      <vt:lpstr>ID_477</vt:lpstr>
      <vt:lpstr>ID_478</vt:lpstr>
      <vt:lpstr>ID_479</vt:lpstr>
      <vt:lpstr>ID_480</vt:lpstr>
      <vt:lpstr>ID_481</vt:lpstr>
      <vt:lpstr>ID_482</vt:lpstr>
      <vt:lpstr>ID_483</vt:lpstr>
      <vt:lpstr>ID_484</vt:lpstr>
      <vt:lpstr>ID_485</vt:lpstr>
      <vt:lpstr>ID_486</vt:lpstr>
      <vt:lpstr>ID_487</vt:lpstr>
      <vt:lpstr>ID_488</vt:lpstr>
      <vt:lpstr>ID_489</vt:lpstr>
      <vt:lpstr>ID_490</vt:lpstr>
      <vt:lpstr>ID_491</vt:lpstr>
      <vt:lpstr>ID_492</vt:lpstr>
      <vt:lpstr>ID_493</vt:lpstr>
      <vt:lpstr>ID_494</vt:lpstr>
      <vt:lpstr>ID_495</vt:lpstr>
      <vt:lpstr>ID_496</vt:lpstr>
      <vt:lpstr>ID_497</vt:lpstr>
      <vt:lpstr>ID_498</vt:lpstr>
      <vt:lpstr>ID_499</vt:lpstr>
      <vt:lpstr>ID_500</vt:lpstr>
      <vt:lpstr>ID_501</vt:lpstr>
      <vt:lpstr>ID_502</vt:lpstr>
      <vt:lpstr>ID_503</vt:lpstr>
      <vt:lpstr>ID_504</vt:lpstr>
      <vt:lpstr>ID_505</vt:lpstr>
      <vt:lpstr>ID_506</vt:lpstr>
      <vt:lpstr>ID_507</vt:lpstr>
      <vt:lpstr>ID_508</vt:lpstr>
      <vt:lpstr>ID_509</vt:lpstr>
      <vt:lpstr>ID_510</vt:lpstr>
      <vt:lpstr>ID_511</vt:lpstr>
      <vt:lpstr>ID_512</vt:lpstr>
      <vt:lpstr>ID_513</vt:lpstr>
      <vt:lpstr>ID_514</vt:lpstr>
      <vt:lpstr>ID_515</vt:lpstr>
      <vt:lpstr>ID_516</vt:lpstr>
      <vt:lpstr>ID_517</vt:lpstr>
      <vt:lpstr>ID_518</vt:lpstr>
      <vt:lpstr>ID_519</vt:lpstr>
      <vt:lpstr>ID_520</vt:lpstr>
      <vt:lpstr>ID_521</vt:lpstr>
      <vt:lpstr>ID_522</vt:lpstr>
      <vt:lpstr>ID_523</vt:lpstr>
      <vt:lpstr>ID_524</vt:lpstr>
      <vt:lpstr>ID_525</vt:lpstr>
      <vt:lpstr>ID_526</vt:lpstr>
      <vt:lpstr>ID_527</vt:lpstr>
      <vt:lpstr>ID_528</vt:lpstr>
      <vt:lpstr>ID_529</vt:lpstr>
      <vt:lpstr>ID_530</vt:lpstr>
      <vt:lpstr>ID_531</vt:lpstr>
      <vt:lpstr>ID_532</vt:lpstr>
      <vt:lpstr>ID_533</vt:lpstr>
      <vt:lpstr>ID_534</vt:lpstr>
      <vt:lpstr>ID_535</vt:lpstr>
      <vt:lpstr>ID_536</vt:lpstr>
      <vt:lpstr>ID_537</vt:lpstr>
      <vt:lpstr>ID_538</vt:lpstr>
      <vt:lpstr>ID_539</vt:lpstr>
      <vt:lpstr>ID_540</vt:lpstr>
      <vt:lpstr>ID_541</vt:lpstr>
      <vt:lpstr>ID_542</vt:lpstr>
      <vt:lpstr>ID_543</vt:lpstr>
      <vt:lpstr>ID_544</vt:lpstr>
      <vt:lpstr>ID_545</vt:lpstr>
      <vt:lpstr>ID_546</vt:lpstr>
      <vt:lpstr>ID_547</vt:lpstr>
      <vt:lpstr>ID_548</vt:lpstr>
      <vt:lpstr>ID_549</vt:lpstr>
      <vt:lpstr>ID_550</vt:lpstr>
      <vt:lpstr>ID_551</vt:lpstr>
      <vt:lpstr>ID_552</vt:lpstr>
      <vt:lpstr>ID_553</vt:lpstr>
      <vt:lpstr>ID_554</vt:lpstr>
      <vt:lpstr>ID_555</vt:lpstr>
      <vt:lpstr>ID_556</vt:lpstr>
      <vt:lpstr>ID_557</vt:lpstr>
      <vt:lpstr>ID_558</vt:lpstr>
      <vt:lpstr>ID_559</vt:lpstr>
      <vt:lpstr>ID_560</vt:lpstr>
      <vt:lpstr>ID_561</vt:lpstr>
      <vt:lpstr>ID_562</vt:lpstr>
      <vt:lpstr>ID_563</vt:lpstr>
      <vt:lpstr>ID_564</vt:lpstr>
      <vt:lpstr>ID_565</vt:lpstr>
      <vt:lpstr>ID_566</vt:lpstr>
      <vt:lpstr>ID_567</vt:lpstr>
      <vt:lpstr>ID_568</vt:lpstr>
      <vt:lpstr>ID_569</vt:lpstr>
      <vt:lpstr>ID_570</vt:lpstr>
      <vt:lpstr>ID_571</vt:lpstr>
      <vt:lpstr>ID_572</vt:lpstr>
      <vt:lpstr>ID_573</vt:lpstr>
      <vt:lpstr>ID_574</vt:lpstr>
      <vt:lpstr>ID_575</vt:lpstr>
      <vt:lpstr>ID_576</vt:lpstr>
      <vt:lpstr>ID_577</vt:lpstr>
      <vt:lpstr>ID_578</vt:lpstr>
      <vt:lpstr>ID_579</vt:lpstr>
      <vt:lpstr>ID_580</vt:lpstr>
      <vt:lpstr>ID_581</vt:lpstr>
      <vt:lpstr>ID_582</vt:lpstr>
      <vt:lpstr>ID_583</vt:lpstr>
      <vt:lpstr>ID_584</vt:lpstr>
      <vt:lpstr>ID_585</vt:lpstr>
      <vt:lpstr>ID_586</vt:lpstr>
      <vt:lpstr>ID_587</vt:lpstr>
      <vt:lpstr>ID_588</vt:lpstr>
      <vt:lpstr>ID_589</vt:lpstr>
      <vt:lpstr>ID_590</vt:lpstr>
      <vt:lpstr>ID_591</vt:lpstr>
      <vt:lpstr>ID_592</vt:lpstr>
      <vt:lpstr>ID_593</vt:lpstr>
      <vt:lpstr>ID_594</vt:lpstr>
      <vt:lpstr>ID_595</vt:lpstr>
      <vt:lpstr>ID_596</vt:lpstr>
      <vt:lpstr>ID_597</vt:lpstr>
      <vt:lpstr>ID_598</vt:lpstr>
      <vt:lpstr>ID_599</vt:lpstr>
      <vt:lpstr>ID_600</vt:lpstr>
      <vt:lpstr>ID_601</vt:lpstr>
      <vt:lpstr>ID_602</vt:lpstr>
      <vt:lpstr>ID_603</vt:lpstr>
      <vt:lpstr>ID_604</vt:lpstr>
      <vt:lpstr>ID_605</vt:lpstr>
      <vt:lpstr>ID_606</vt:lpstr>
      <vt:lpstr>ID_607</vt:lpstr>
      <vt:lpstr>ID_608</vt:lpstr>
      <vt:lpstr>ID_609</vt:lpstr>
      <vt:lpstr>ID_610</vt:lpstr>
      <vt:lpstr>ID_611</vt:lpstr>
      <vt:lpstr>ID_612</vt:lpstr>
      <vt:lpstr>ID_613</vt:lpstr>
      <vt:lpstr>ID_614</vt:lpstr>
      <vt:lpstr>ID_615</vt:lpstr>
      <vt:lpstr>ID_616</vt:lpstr>
      <vt:lpstr>ID_617</vt:lpstr>
      <vt:lpstr>ID_618</vt:lpstr>
      <vt:lpstr>ID_619</vt:lpstr>
      <vt:lpstr>ID_620</vt:lpstr>
      <vt:lpstr>ID_621</vt:lpstr>
      <vt:lpstr>ID_622</vt:lpstr>
      <vt:lpstr>ID_623</vt:lpstr>
      <vt:lpstr>ID_624</vt:lpstr>
      <vt:lpstr>ID_625</vt:lpstr>
      <vt:lpstr>ID_626</vt:lpstr>
      <vt:lpstr>ID_627</vt:lpstr>
      <vt:lpstr>ID_628</vt:lpstr>
      <vt:lpstr>ID_629</vt:lpstr>
      <vt:lpstr>ID_630</vt:lpstr>
      <vt:lpstr>ID_631</vt:lpstr>
      <vt:lpstr>ID_632</vt:lpstr>
      <vt:lpstr>ID_633</vt:lpstr>
      <vt:lpstr>ID_634</vt:lpstr>
      <vt:lpstr>ID_635</vt:lpstr>
      <vt:lpstr>ID_636</vt:lpstr>
      <vt:lpstr>ID_637</vt:lpstr>
      <vt:lpstr>ID_638</vt:lpstr>
      <vt:lpstr>ID_639</vt:lpstr>
      <vt:lpstr>ID_900</vt:lpstr>
      <vt:lpstr>ID_901</vt:lpstr>
      <vt:lpstr>ID_902</vt:lpstr>
      <vt:lpstr>ID_903</vt:lpstr>
      <vt:lpstr>ID_904</vt:lpstr>
      <vt:lpstr>ID_905</vt:lpstr>
      <vt:lpstr>ID_906</vt:lpstr>
      <vt:lpstr>ID_907</vt:lpstr>
      <vt:lpstr>ID_908</vt:lpstr>
      <vt:lpstr>ID_909</vt:lpstr>
      <vt:lpstr>ID_910</vt:lpstr>
      <vt:lpstr>ID_911</vt:lpstr>
      <vt:lpstr>ID_912</vt:lpstr>
      <vt:lpstr>ID_913</vt:lpstr>
      <vt:lpstr>ID_914</vt:lpstr>
      <vt:lpstr>ID_915</vt:lpstr>
      <vt:lpstr>ID_916</vt:lpstr>
      <vt:lpstr>ID_917</vt:lpstr>
      <vt:lpstr>ID_918</vt:lpstr>
      <vt:lpstr>ID_919</vt:lpstr>
      <vt:lpstr>ID_920</vt:lpstr>
      <vt:lpstr>ID_921</vt:lpstr>
      <vt:lpstr>ID_922</vt:lpstr>
      <vt:lpstr>ID_923</vt:lpstr>
      <vt:lpstr>ID_924</vt:lpstr>
      <vt:lpstr>ID_925</vt:lpstr>
      <vt:lpstr>ID_926</vt:lpstr>
      <vt:lpstr>ID_927</vt:lpstr>
      <vt:lpstr>ID_928</vt:lpstr>
      <vt:lpstr>ID_929</vt:lpstr>
      <vt:lpstr>ID_930</vt:lpstr>
      <vt:lpstr>ID_931</vt:lpstr>
      <vt:lpstr>ID_932</vt:lpstr>
      <vt:lpstr>ID_933</vt:lpstr>
      <vt:lpstr>ID_934</vt:lpstr>
      <vt:lpstr>ID_935</vt:lpstr>
      <vt:lpstr>ID_936</vt:lpstr>
      <vt:lpstr>ID_937</vt:lpstr>
      <vt:lpstr>ID_938</vt:lpstr>
      <vt:lpstr>ID_939</vt:lpstr>
      <vt:lpstr>ID_940</vt:lpstr>
      <vt:lpstr>ID_941</vt:lpstr>
      <vt:lpstr>ID_942</vt:lpstr>
      <vt:lpstr>ID_943</vt:lpstr>
      <vt:lpstr>ID_944</vt:lpstr>
      <vt:lpstr>ID_945</vt:lpstr>
      <vt:lpstr>ID_946</vt:lpstr>
      <vt:lpstr>ID_947</vt:lpstr>
      <vt:lpstr>ID_948</vt:lpstr>
      <vt:lpstr>ID_949</vt:lpstr>
      <vt:lpstr>ID_950</vt:lpstr>
      <vt:lpstr>ID_951</vt:lpstr>
      <vt:lpstr>ID_952</vt:lpstr>
      <vt:lpstr>ID_953</vt:lpstr>
      <vt:lpstr>ID_954</vt:lpstr>
      <vt:lpstr>ID_955</vt:lpstr>
      <vt:lpstr>ID_956</vt:lpstr>
      <vt:lpstr>ID_957</vt:lpstr>
      <vt:lpstr>ID_958</vt:lpstr>
      <vt:lpstr>ID_959</vt:lpstr>
      <vt:lpstr>ID_960</vt:lpstr>
      <vt:lpstr>ID_961</vt:lpstr>
      <vt:lpstr>ID_962</vt:lpstr>
      <vt:lpstr>ID_963</vt:lpstr>
      <vt:lpstr>ID_964</vt:lpstr>
      <vt:lpstr>ID_965</vt:lpstr>
      <vt:lpstr>ID_966</vt:lpstr>
      <vt:lpstr>ID_967</vt:lpstr>
      <vt:lpstr>ID_968</vt:lpstr>
      <vt:lpstr>ID_969</vt:lpstr>
      <vt:lpstr>ID_970</vt:lpstr>
      <vt:lpstr>ID_971</vt:lpstr>
      <vt:lpstr>ID_972</vt:lpstr>
      <vt:lpstr>ID_973</vt:lpstr>
      <vt:lpstr>ID_974</vt:lpstr>
      <vt:lpstr>ID_975</vt:lpstr>
      <vt:lpstr>ID_976</vt:lpstr>
      <vt:lpstr>ID_977</vt:lpstr>
      <vt:lpstr>ID_978</vt:lpstr>
      <vt:lpstr>ID_979</vt:lpstr>
      <vt:lpstr>ID_980</vt:lpstr>
      <vt:lpstr>ID_981</vt:lpstr>
      <vt:lpstr>ID_982</vt:lpstr>
      <vt:lpstr>ID_983</vt:lpstr>
      <vt:lpstr>ID_984</vt:lpstr>
      <vt:lpstr>ID_985</vt:lpstr>
      <vt:lpstr>ID_986</vt:lpstr>
      <vt:lpstr>ID_987</vt:lpstr>
      <vt:lpstr>ID_988</vt:lpstr>
      <vt:lpstr>ID_989</vt:lpstr>
      <vt:lpstr>ID_990</vt:lpstr>
      <vt:lpstr>ID_991</vt:lpstr>
      <vt:lpstr>ID_992</vt:lpstr>
      <vt:lpstr>ID_993</vt:lpstr>
      <vt:lpstr>ID_994</vt:lpstr>
      <vt:lpstr>ID_995</vt:lpstr>
      <vt:lpstr>ID_996</vt:lpstr>
      <vt:lpstr>ID_997</vt:lpstr>
      <vt:lpstr>ID_998</vt:lpstr>
      <vt:lpstr>ID_999</vt:lpstr>
      <vt:lpstr>M1GR</vt:lpstr>
      <vt:lpstr>M1PP</vt:lpstr>
      <vt:lpstr>M1PT</vt:lpstr>
      <vt:lpstr>M1SD</vt:lpstr>
      <vt:lpstr>MIBW</vt:lpstr>
      <vt:lpstr>MIEN</vt:lpstr>
      <vt:lpstr>MIET</vt:lpstr>
      <vt:lpstr>MIGE</vt:lpstr>
      <vt:lpstr>MILL</vt:lpstr>
      <vt:lpstr>MILT</vt:lpstr>
      <vt:lpstr>MIML</vt:lpstr>
      <vt:lpstr>MIMW</vt:lpstr>
      <vt:lpstr>MIOS</vt:lpstr>
      <vt:lpstr>OPPR</vt:lpstr>
      <vt:lpstr>PDTM</vt:lpstr>
      <vt:lpstr>RGON</vt:lpstr>
      <vt:lpstr>RGW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2855 有松  辰也 (ｱﾘﾏﾂ ﾀﾂﾔ)</dc:creator>
  <cp:keywords/>
  <dc:description/>
  <cp:lastModifiedBy>Riku Murakami</cp:lastModifiedBy>
  <cp:revision/>
  <dcterms:created xsi:type="dcterms:W3CDTF">2017-08-25T02:30:55Z</dcterms:created>
  <dcterms:modified xsi:type="dcterms:W3CDTF">2025-06-24T01:57:06Z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0x01010079153B8FBEBB604B99F1339B5E526511</vt:lpwstr>
  </property>
  <property fmtid="{D5CDD505-2E9C-101B-9397-08002B2CF9AE}" pid="3" name="MediaServiceImageTags">
    <vt:lpwstr/>
  </property>
</Properties>
</file>